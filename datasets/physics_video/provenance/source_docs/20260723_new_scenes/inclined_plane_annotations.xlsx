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实验设置" sheetId="1" r:id="rId1"/>
    <sheet name="Trial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<sst xmlns="http://schemas.openxmlformats.org/spreadsheetml/2006/main" count="431" uniqueCount="284">
  <si>
    <t>斜面滑动实验｜最小计算记录表</t>
  </si>
  <si>
    <t>同一批次固定物体、质量、轨道材质、动摩擦系数、相机位置和释放点；Trial中只改变角度或背景。</t>
  </si>
  <si>
    <t>填写项目</t>
  </si>
  <si>
    <t>填写值</t>
  </si>
  <si>
    <t>简单示例</t>
  </si>
  <si>
    <t>为什么保留</t>
  </si>
  <si>
    <t>实验批次名称</t>
  </si>
  <si>
    <t>20260723_incline_01</t>
  </si>
  <si>
    <r>
      <t>例：</t>
    </r>
    <r>
      <rPr>
        <sz val="10"/>
        <color rgb="FF263238"/>
        <rFont val="Carlito"/>
        <charset val="134"/>
      </rPr>
      <t>20260723_incline_01</t>
    </r>
  </si>
  <si>
    <t>用于文件夹和 metadata 命名</t>
  </si>
  <si>
    <t>采集日期</t>
  </si>
  <si>
    <t>2026.07.23</t>
  </si>
  <si>
    <t>填写当天日期</t>
  </si>
  <si>
    <t>不用填写具体时间</t>
  </si>
  <si>
    <t>手机型号</t>
  </si>
  <si>
    <t>iPhone 12</t>
  </si>
  <si>
    <t>已预填</t>
  </si>
  <si>
    <t>设备不变时无需修改</t>
  </si>
  <si>
    <t>录像模式</t>
  </si>
  <si>
    <t>高清/240fps（慢动作）</t>
  </si>
  <si>
    <t>例：高清 / 240 fps</t>
  </si>
  <si>
    <t>分辨率和帧率写在一起即可</t>
  </si>
  <si>
    <t>物体说明</t>
  </si>
  <si>
    <t>黑底圆孔滑块</t>
  </si>
  <si>
    <t>例：木块A</t>
  </si>
  <si>
    <t>本批次只使用一个物体</t>
  </si>
  <si>
    <t>物体质量_kg</t>
  </si>
  <si>
    <t>例：0.200</t>
  </si>
  <si>
    <t>同一批次固定</t>
  </si>
  <si>
    <t>轨道材质</t>
  </si>
  <si>
    <t>木板原表面</t>
  </si>
  <si>
    <t>例：木板原表面</t>
  </si>
  <si>
    <t>更换材质时建立新批次</t>
  </si>
  <si>
    <t>动摩擦系数_mu_k</t>
  </si>
  <si>
    <t>例：0.250</t>
  </si>
  <si>
    <t>标定参照长度_cm</t>
  </si>
  <si>
    <t>画面中标尺已知长度</t>
  </si>
  <si>
    <t>用于像素换算实际距离</t>
  </si>
  <si>
    <t>固定释放点</t>
  </si>
  <si>
    <t>顶端</t>
  </si>
  <si>
    <t>例：顶端红色胶带线</t>
  </si>
  <si>
    <t>不要求精确测量距离</t>
  </si>
  <si>
    <t>重力加速度_m_s2</t>
  </si>
  <si>
    <t>已预填标准重力</t>
  </si>
  <si>
    <t>一般无需修改</t>
  </si>
  <si>
    <t>整体备注</t>
  </si>
  <si>
    <r>
      <t>滑块长</t>
    </r>
    <r>
      <rPr>
        <sz val="10"/>
        <color rgb="FF263238"/>
        <rFont val="Carlito"/>
        <charset val="134"/>
      </rPr>
      <t>11cm</t>
    </r>
  </si>
  <si>
    <t>没有异常可留空</t>
  </si>
  <si>
    <t>记录影响整批实验的情况</t>
  </si>
  <si>
    <t>自动计算：每个 Trial 的摩擦力 F_f = μ_k·m·g·cos(θ)；理论加速度 a = g·[sin(θ) − μ_k·cos(θ)]。</t>
  </si>
  <si>
    <t>背景变化不影响批次物理参数；在 Trial 记录中标记“是否更换背景”，用于 Appearance OOD 划分。</t>
  </si>
  <si>
    <t>Trial 记录｜每段视频一行</t>
  </si>
  <si>
    <t>人工填写视频文件名、斜面角度和背景变化；摩擦力与理论加速度由批次固定参数自动计算。</t>
  </si>
  <si>
    <t>Trial编号</t>
  </si>
  <si>
    <t>视频文件名</t>
  </si>
  <si>
    <t>斜面角度_deg</t>
  </si>
  <si>
    <t>摩擦力_N</t>
  </si>
  <si>
    <t>理论加速度_m_s2</t>
  </si>
  <si>
    <t>是否更换背景</t>
  </si>
  <si>
    <t>背景说明（可空）</t>
  </si>
  <si>
    <t>T001</t>
  </si>
  <si>
    <t>IMG_0271</t>
  </si>
  <si>
    <t>T002</t>
  </si>
  <si>
    <t>IMG_0273</t>
  </si>
  <si>
    <t>T003</t>
  </si>
  <si>
    <t>IMG_0274</t>
  </si>
  <si>
    <t>T004</t>
  </si>
  <si>
    <t>IMG_0275</t>
  </si>
  <si>
    <t>T005</t>
  </si>
  <si>
    <t>IMG_0276</t>
  </si>
  <si>
    <t>T006</t>
  </si>
  <si>
    <t>IMG_0313</t>
  </si>
  <si>
    <t>是</t>
  </si>
  <si>
    <t>油画</t>
  </si>
  <si>
    <t>T007</t>
  </si>
  <si>
    <t>IMG_0314</t>
  </si>
  <si>
    <t>T008</t>
  </si>
  <si>
    <t>IMG_0317</t>
  </si>
  <si>
    <t>T009</t>
  </si>
  <si>
    <t>IMG_0318</t>
  </si>
  <si>
    <t>T010</t>
  </si>
  <si>
    <t>IMG_0319</t>
  </si>
  <si>
    <t>T011</t>
  </si>
  <si>
    <t>IMG_0341</t>
  </si>
  <si>
    <t>黑色泡沫板</t>
  </si>
  <si>
    <t>T012</t>
  </si>
  <si>
    <t>IMG_0342</t>
  </si>
  <si>
    <t>T013</t>
  </si>
  <si>
    <t>IMG_0343</t>
  </si>
  <si>
    <t>T014</t>
  </si>
  <si>
    <t>IMG_0344</t>
  </si>
  <si>
    <t>T015</t>
  </si>
  <si>
    <t>IMG_0345</t>
  </si>
  <si>
    <t>T016</t>
  </si>
  <si>
    <t>IMG_0346</t>
  </si>
  <si>
    <t>绿色卡纸</t>
  </si>
  <si>
    <t>T017</t>
  </si>
  <si>
    <t>IMG_0348</t>
  </si>
  <si>
    <t>T018</t>
  </si>
  <si>
    <t>IMG_0349</t>
  </si>
  <si>
    <t>T019</t>
  </si>
  <si>
    <t>IMG_0350</t>
  </si>
  <si>
    <t>T020</t>
  </si>
  <si>
    <t>IMG_0351</t>
  </si>
  <si>
    <t>T021</t>
  </si>
  <si>
    <t>IMG_0281</t>
  </si>
  <si>
    <t>T022</t>
  </si>
  <si>
    <t>IMG_0283</t>
  </si>
  <si>
    <t>T023</t>
  </si>
  <si>
    <t>IMG_0284</t>
  </si>
  <si>
    <t>T024</t>
  </si>
  <si>
    <t>IMG_0285</t>
  </si>
  <si>
    <t>T025</t>
  </si>
  <si>
    <t>IMG_0286</t>
  </si>
  <si>
    <t>T026</t>
  </si>
  <si>
    <t>IMG_0320</t>
  </si>
  <si>
    <t>T027</t>
  </si>
  <si>
    <t>IMG_0321</t>
  </si>
  <si>
    <t>T028</t>
  </si>
  <si>
    <t>IMG_0323</t>
  </si>
  <si>
    <t>T029</t>
  </si>
  <si>
    <t>IMG_0324</t>
  </si>
  <si>
    <t>T030</t>
  </si>
  <si>
    <t>IMG_0325</t>
  </si>
  <si>
    <t>T031</t>
  </si>
  <si>
    <t>IMG_0375</t>
  </si>
  <si>
    <t>T032</t>
  </si>
  <si>
    <t>IMG_0376</t>
  </si>
  <si>
    <t>T033</t>
  </si>
  <si>
    <t>IMG_0377</t>
  </si>
  <si>
    <t>T034</t>
  </si>
  <si>
    <t>IMG_0378</t>
  </si>
  <si>
    <t>T035</t>
  </si>
  <si>
    <t>IMG_0379</t>
  </si>
  <si>
    <t>T036</t>
  </si>
  <si>
    <t>IMG_0352</t>
  </si>
  <si>
    <t>T037</t>
  </si>
  <si>
    <t>IMG_0353</t>
  </si>
  <si>
    <t>T038</t>
  </si>
  <si>
    <t>IMG_0355</t>
  </si>
  <si>
    <t>T039</t>
  </si>
  <si>
    <t>IMG_0356</t>
  </si>
  <si>
    <t>T040</t>
  </si>
  <si>
    <t>IMG_0357</t>
  </si>
  <si>
    <t>T041</t>
  </si>
  <si>
    <t>IMG_0287</t>
  </si>
  <si>
    <t>T042</t>
  </si>
  <si>
    <t>IMG_0288</t>
  </si>
  <si>
    <t>T043</t>
  </si>
  <si>
    <t>IMG_0290</t>
  </si>
  <si>
    <t>T044</t>
  </si>
  <si>
    <t>IMG_0291</t>
  </si>
  <si>
    <t>T045</t>
  </si>
  <si>
    <t>IMG_0292</t>
  </si>
  <si>
    <t>T046</t>
  </si>
  <si>
    <t>IMG_0326</t>
  </si>
  <si>
    <t>T047</t>
  </si>
  <si>
    <t>IMG_0327</t>
  </si>
  <si>
    <t>T048</t>
  </si>
  <si>
    <t>IMG_0328</t>
  </si>
  <si>
    <t>T049</t>
  </si>
  <si>
    <t>IMG_0329</t>
  </si>
  <si>
    <t>T050</t>
  </si>
  <si>
    <t>IMG_0330</t>
  </si>
  <si>
    <t>T051</t>
  </si>
  <si>
    <t>IMG_0380</t>
  </si>
  <si>
    <t>T052</t>
  </si>
  <si>
    <t>IMG_0381</t>
  </si>
  <si>
    <t>T053</t>
  </si>
  <si>
    <t>IMG_0382</t>
  </si>
  <si>
    <t>T054</t>
  </si>
  <si>
    <t>IMG_0383</t>
  </si>
  <si>
    <t>T055</t>
  </si>
  <si>
    <t>IMG_0384</t>
  </si>
  <si>
    <t>T056</t>
  </si>
  <si>
    <t>IMG-0358</t>
  </si>
  <si>
    <t>T057</t>
  </si>
  <si>
    <t>IMG-0359</t>
  </si>
  <si>
    <t>T058</t>
  </si>
  <si>
    <t>IMG-0360</t>
  </si>
  <si>
    <t>T059</t>
  </si>
  <si>
    <t>IMG-0361</t>
  </si>
  <si>
    <t>T060</t>
  </si>
  <si>
    <t>IMG-0362</t>
  </si>
  <si>
    <t>T061</t>
  </si>
  <si>
    <t>IMG_0294</t>
  </si>
  <si>
    <t>T062</t>
  </si>
  <si>
    <t>IMG_0295</t>
  </si>
  <si>
    <t>T063</t>
  </si>
  <si>
    <t>IMG_0296</t>
  </si>
  <si>
    <t>T064</t>
  </si>
  <si>
    <t>IMG_0297</t>
  </si>
  <si>
    <t>T065</t>
  </si>
  <si>
    <t>IMG_0298</t>
  </si>
  <si>
    <t>T066</t>
  </si>
  <si>
    <t>IMG_0331</t>
  </si>
  <si>
    <t>T067</t>
  </si>
  <si>
    <t>IMG_0332</t>
  </si>
  <si>
    <t>T068</t>
  </si>
  <si>
    <t>IMG_0333</t>
  </si>
  <si>
    <t>T069</t>
  </si>
  <si>
    <t>IMG_0334</t>
  </si>
  <si>
    <t>T070</t>
  </si>
  <si>
    <t>IMG_0335</t>
  </si>
  <si>
    <t>T071</t>
  </si>
  <si>
    <t>IMG_0385</t>
  </si>
  <si>
    <t>T072</t>
  </si>
  <si>
    <t>IMG_0386</t>
  </si>
  <si>
    <t>T073</t>
  </si>
  <si>
    <t>IMG_0387</t>
  </si>
  <si>
    <t>T074</t>
  </si>
  <si>
    <t>IMG_0388</t>
  </si>
  <si>
    <t>T075</t>
  </si>
  <si>
    <t>IMG_0389</t>
  </si>
  <si>
    <t>T076</t>
  </si>
  <si>
    <t>IMG-0363</t>
  </si>
  <si>
    <t>T077</t>
  </si>
  <si>
    <t>IMG-0364</t>
  </si>
  <si>
    <t>T078</t>
  </si>
  <si>
    <t>IMG-0365</t>
  </si>
  <si>
    <t>T079</t>
  </si>
  <si>
    <t>IMG-0366</t>
  </si>
  <si>
    <t>T080</t>
  </si>
  <si>
    <t>IMG-0367</t>
  </si>
  <si>
    <t>T081</t>
  </si>
  <si>
    <t>IMG_0299</t>
  </si>
  <si>
    <t>T082</t>
  </si>
  <si>
    <t>IMG_0300</t>
  </si>
  <si>
    <t>T083</t>
  </si>
  <si>
    <t>IMG_0302</t>
  </si>
  <si>
    <t>T084</t>
  </si>
  <si>
    <t>IMG_0303</t>
  </si>
  <si>
    <t>T085</t>
  </si>
  <si>
    <t>IMG_0305</t>
  </si>
  <si>
    <t>T086</t>
  </si>
  <si>
    <t>IMG_0336</t>
  </si>
  <si>
    <t>T087</t>
  </si>
  <si>
    <t>IMG_0337</t>
  </si>
  <si>
    <t>T088</t>
  </si>
  <si>
    <t>IMG_0338</t>
  </si>
  <si>
    <t>T089</t>
  </si>
  <si>
    <t>IMG_0339</t>
  </si>
  <si>
    <t>T090</t>
  </si>
  <si>
    <t>IMG_0340</t>
  </si>
  <si>
    <t>T091</t>
  </si>
  <si>
    <t>IMG_0390</t>
  </si>
  <si>
    <t>T092</t>
  </si>
  <si>
    <t>IMG_0391</t>
  </si>
  <si>
    <t>T093</t>
  </si>
  <si>
    <t>IMG_0392</t>
  </si>
  <si>
    <t>T094</t>
  </si>
  <si>
    <t>IMG_0393</t>
  </si>
  <si>
    <t>T095</t>
  </si>
  <si>
    <t>IMG_0394</t>
  </si>
  <si>
    <t>T096</t>
  </si>
  <si>
    <t>IMG_0368</t>
  </si>
  <si>
    <t>T097</t>
  </si>
  <si>
    <t>IMG_0369</t>
  </si>
  <si>
    <t>T098</t>
  </si>
  <si>
    <t>IMG_0370</t>
  </si>
  <si>
    <t>T099</t>
  </si>
  <si>
    <t>IMG_0372</t>
  </si>
  <si>
    <t>T100</t>
  </si>
  <si>
    <t>IMG_0373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</si>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</sst>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  <numFmt numFmtId="178" formatCode="yyyy\-mm\-dd"/>
    <numFmt numFmtId="179" formatCode="0.00000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0"/>
      <color rgb="FF183B56"/>
      <name val="Carlito"/>
      <charset val="134"/>
    </font>
    <font>
      <b/>
      <sz val="11"/>
      <color rgb="FFFFFFFF"/>
      <name val="Carlito"/>
      <charset val="134"/>
    </font>
    <font>
      <sz val="10"/>
      <color rgb="FF263238"/>
      <name val="Carlito"/>
      <charset val="134"/>
    </font>
    <font>
      <sz val="10"/>
      <color rgb="FF263238"/>
      <name val="宋体"/>
      <charset val="134"/>
    </font>
    <font>
      <b/>
      <sz val="10"/>
      <color rgb="FF263238"/>
      <name val="Carlito"/>
      <charset val="134"/>
    </font>
    <font>
      <b/>
      <sz val="10"/>
      <color rgb="FF183B56"/>
      <name val="Carlito"/>
      <charset val="134"/>
    </font>
    <font>
      <i/>
      <sz val="10"/>
      <color rgb="FF263238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83B56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87271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/>
      <top style="thin">
        <color rgb="FFD7DEE5"/>
      </top>
      <bottom style="thin">
        <color rgb="FFD7DEE5"/>
      </bottom>
      <diagonal/>
    </border>
    <border>
      <left/>
      <right/>
      <top style="thin">
        <color rgb="FFD7DEE5"/>
      </top>
      <bottom style="thin">
        <color rgb="FFD7DEE5"/>
      </bottom>
      <diagonal/>
    </border>
    <border>
      <left/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vertical="center"/>
    </xf>
    <xf numFmtId="176" fontId="4" fillId="5" borderId="1" xfId="0" applyNumberFormat="1" applyFont="1" applyFill="1" applyBorder="1" applyAlignment="1">
      <alignment vertical="center"/>
    </xf>
    <xf numFmtId="177" fontId="4" fillId="3" borderId="1" xfId="0" applyNumberFormat="1" applyFont="1" applyFill="1" applyBorder="1" applyAlignment="1">
      <alignment horizontal="right" vertical="center"/>
    </xf>
    <xf numFmtId="0" fontId="5" fillId="5" borderId="1" xfId="0" applyNumberFormat="1" applyFont="1" applyFill="1" applyBorder="1" applyAlignment="1">
      <alignment vertic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6" fillId="6" borderId="1" xfId="0" applyNumberFormat="1" applyFont="1" applyFill="1" applyBorder="1" applyAlignment="1">
      <alignment vertical="center"/>
    </xf>
    <xf numFmtId="0" fontId="5" fillId="7" borderId="1" xfId="0" applyNumberFormat="1" applyFont="1" applyFill="1" applyBorder="1" applyAlignment="1">
      <alignment vertical="center" wrapText="1"/>
    </xf>
    <xf numFmtId="0" fontId="4" fillId="7" borderId="1" xfId="0" applyNumberFormat="1" applyFont="1" applyFill="1" applyBorder="1" applyAlignment="1">
      <alignment vertical="center" wrapText="1"/>
    </xf>
    <xf numFmtId="178" fontId="4" fillId="5" borderId="1" xfId="0" applyNumberFormat="1" applyFont="1" applyFill="1" applyBorder="1" applyAlignment="1">
      <alignment vertical="center"/>
    </xf>
    <xf numFmtId="0" fontId="4" fillId="3" borderId="1" xfId="0" applyNumberFormat="1" applyFont="1" applyFill="1" applyBorder="1" applyAlignment="1">
      <alignment horizontal="left" vertical="center"/>
    </xf>
    <xf numFmtId="177" fontId="4" fillId="5" borderId="1" xfId="0" applyNumberFormat="1" applyFont="1" applyFill="1" applyBorder="1" applyAlignment="1">
      <alignment vertical="center"/>
    </xf>
    <xf numFmtId="176" fontId="4" fillId="5" borderId="1" xfId="0" applyNumberFormat="1" applyFont="1" applyFill="1" applyBorder="1" applyAlignment="1">
      <alignment horizontal="left" vertical="center"/>
    </xf>
    <xf numFmtId="179" fontId="4" fillId="3" borderId="1" xfId="0" applyNumberFormat="1" applyFont="1" applyFill="1" applyBorder="1" applyAlignment="1">
      <alignment horizontal="left" vertical="center"/>
    </xf>
    <xf numFmtId="0" fontId="7" fillId="3" borderId="2" xfId="0" applyNumberFormat="1" applyFont="1" applyFill="1" applyBorder="1" applyAlignment="1">
      <alignment vertical="center" wrapText="1"/>
    </xf>
    <xf numFmtId="0" fontId="7" fillId="3" borderId="3" xfId="0" applyNumberFormat="1" applyFont="1" applyFill="1" applyBorder="1" applyAlignment="1">
      <alignment vertical="center" wrapText="1"/>
    </xf>
    <xf numFmtId="0" fontId="7" fillId="3" borderId="4" xfId="0" applyNumberFormat="1" applyFont="1" applyFill="1" applyBorder="1" applyAlignment="1">
      <alignment vertical="center" wrapText="1"/>
    </xf>
    <xf numFmtId="0" fontId="8" fillId="7" borderId="0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BatchSettingsTable" displayName="BatchSettingsTable" ref="A5:D17" totalsRowShown="0">
  <tableColumns count="4">
    <tableColumn id="1" name="填写项目"/>
    <tableColumn id="2" name="填写值"/>
    <tableColumn id="3" name="简单示例"/>
    <tableColumn id="4" name="为什么保留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3" name="BatchTrialTable" displayName="BatchTrialTable" ref="A5:G125" totalsRowShown="0">
  <autoFilter xmlns:etc="http://www.wps.cn/officeDocument/2017/etCustomData" ref="A5:G125" etc:filterBottomFollowUsedRange="0"/>
  <tableColumns count="7">
    <tableColumn id="1" name="Trial编号"/>
    <tableColumn id="2" name="视频文件名"/>
    <tableColumn id="3" name="斜面角度_deg"/>
    <tableColumn id="4" name="摩擦力_N"/>
    <tableColumn id="5" name="理论加速度_m_s2"/>
    <tableColumn id="6" name="是否更换背景"/>
    <tableColumn id="7" name="背景说明（可空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showGridLines="0" topLeftCell="A3" workbookViewId="0">
      <selection activeCell="B11" sqref="B11"/>
    </sheetView>
  </sheetViews>
  <sheetFormatPr defaultColWidth="9" defaultRowHeight="13.8" outlineLevelCol="3"/>
  <cols>
    <col min="1" max="1" width="24" customWidth="1"/>
    <col min="2" max="2" width="27" customWidth="1"/>
    <col min="3" max="3" width="30" customWidth="1"/>
    <col min="4" max="4" width="34" customWidth="1"/>
  </cols>
  <sheetData>
    <row r="1" ht="30" customHeight="1" spans="1:4">
      <c r="A1" s="9" t="s">
        <v>0</v>
      </c>
      <c r="B1" s="9"/>
      <c r="C1" s="9"/>
      <c r="D1" s="9"/>
    </row>
    <row r="2" ht="30" customHeight="1" spans="1:4">
      <c r="A2" s="9"/>
      <c r="B2" s="9"/>
      <c r="C2" s="9"/>
      <c r="D2" s="9"/>
    </row>
    <row r="3" ht="30" customHeight="1" spans="1:4">
      <c r="A3" s="10" t="s">
        <v>1</v>
      </c>
      <c r="B3" s="10"/>
      <c r="C3" s="10"/>
      <c r="D3" s="10"/>
    </row>
    <row r="5" ht="28" customHeight="1" spans="1:4">
      <c r="A5" s="3" t="s">
        <v>2</v>
      </c>
      <c r="B5" s="3" t="s">
        <v>3</v>
      </c>
      <c r="C5" s="3" t="s">
        <v>4</v>
      </c>
      <c r="D5" s="3" t="s">
        <v>5</v>
      </c>
    </row>
    <row r="6" ht="27" customHeight="1" spans="1:4">
      <c r="A6" s="11" t="s">
        <v>6</v>
      </c>
      <c r="B6" s="8" t="s">
        <v>7</v>
      </c>
      <c r="C6" s="12" t="s">
        <v>8</v>
      </c>
      <c r="D6" s="13" t="s">
        <v>9</v>
      </c>
    </row>
    <row r="7" ht="27" customHeight="1" spans="1:4">
      <c r="A7" s="11" t="s">
        <v>10</v>
      </c>
      <c r="B7" s="14" t="s">
        <v>11</v>
      </c>
      <c r="C7" s="13" t="s">
        <v>12</v>
      </c>
      <c r="D7" s="13" t="s">
        <v>13</v>
      </c>
    </row>
    <row r="8" ht="27" customHeight="1" spans="1:4">
      <c r="A8" s="11" t="s">
        <v>14</v>
      </c>
      <c r="B8" s="15" t="s">
        <v>15</v>
      </c>
      <c r="C8" s="13" t="s">
        <v>16</v>
      </c>
      <c r="D8" s="13" t="s">
        <v>17</v>
      </c>
    </row>
    <row r="9" ht="27" customHeight="1" spans="1:4">
      <c r="A9" s="11" t="s">
        <v>18</v>
      </c>
      <c r="B9" s="5" t="s">
        <v>19</v>
      </c>
      <c r="C9" s="13" t="s">
        <v>20</v>
      </c>
      <c r="D9" s="13" t="s">
        <v>21</v>
      </c>
    </row>
    <row r="10" ht="27" customHeight="1" spans="1:4">
      <c r="A10" s="11" t="s">
        <v>22</v>
      </c>
      <c r="B10" s="8" t="s">
        <v>23</v>
      </c>
      <c r="C10" s="13" t="s">
        <v>24</v>
      </c>
      <c r="D10" s="13" t="s">
        <v>25</v>
      </c>
    </row>
    <row r="11" ht="27" customHeight="1" spans="1:4">
      <c r="A11" s="11" t="s">
        <v>26</v>
      </c>
      <c r="B11" s="16">
        <v>0.08768</v>
      </c>
      <c r="C11" s="13" t="s">
        <v>27</v>
      </c>
      <c r="D11" s="13" t="s">
        <v>28</v>
      </c>
    </row>
    <row r="12" ht="27" customHeight="1" spans="1:4">
      <c r="A12" s="11" t="s">
        <v>29</v>
      </c>
      <c r="B12" s="8" t="s">
        <v>30</v>
      </c>
      <c r="C12" s="13" t="s">
        <v>31</v>
      </c>
      <c r="D12" s="13" t="s">
        <v>32</v>
      </c>
    </row>
    <row r="13" ht="27" customHeight="1" spans="1:4">
      <c r="A13" s="11" t="s">
        <v>33</v>
      </c>
      <c r="B13" s="16">
        <v>0.463</v>
      </c>
      <c r="C13" s="13" t="s">
        <v>34</v>
      </c>
      <c r="D13" s="13" t="s">
        <v>28</v>
      </c>
    </row>
    <row r="14" ht="27" customHeight="1" spans="1:4">
      <c r="A14" s="11" t="s">
        <v>35</v>
      </c>
      <c r="B14" s="17">
        <v>49</v>
      </c>
      <c r="C14" s="13" t="s">
        <v>36</v>
      </c>
      <c r="D14" s="13" t="s">
        <v>37</v>
      </c>
    </row>
    <row r="15" ht="27" customHeight="1" spans="1:4">
      <c r="A15" s="11" t="s">
        <v>38</v>
      </c>
      <c r="B15" s="8" t="s">
        <v>39</v>
      </c>
      <c r="C15" s="13" t="s">
        <v>40</v>
      </c>
      <c r="D15" s="13" t="s">
        <v>41</v>
      </c>
    </row>
    <row r="16" ht="27" customHeight="1" spans="1:4">
      <c r="A16" s="11" t="s">
        <v>42</v>
      </c>
      <c r="B16" s="18">
        <v>9.80665</v>
      </c>
      <c r="C16" s="13" t="s">
        <v>43</v>
      </c>
      <c r="D16" s="13" t="s">
        <v>44</v>
      </c>
    </row>
    <row r="17" ht="27" customHeight="1" spans="1:4">
      <c r="A17" s="11" t="s">
        <v>45</v>
      </c>
      <c r="B17" s="8" t="s">
        <v>46</v>
      </c>
      <c r="C17" s="13" t="s">
        <v>47</v>
      </c>
      <c r="D17" s="13" t="s">
        <v>48</v>
      </c>
    </row>
    <row r="18" ht="38" customHeight="1"/>
    <row r="19" ht="38" customHeight="1"/>
    <row r="20" ht="38" customHeight="1" spans="1:4">
      <c r="A20" s="19" t="s">
        <v>49</v>
      </c>
      <c r="B20" s="20"/>
      <c r="C20" s="20"/>
      <c r="D20" s="21"/>
    </row>
    <row r="21" ht="38" customHeight="1" spans="1:4">
      <c r="A21" s="22" t="s">
        <v>50</v>
      </c>
      <c r="B21" s="22"/>
      <c r="C21" s="22"/>
      <c r="D21" s="22"/>
    </row>
  </sheetData>
  <mergeCells count="6">
    <mergeCell ref="A3:D3"/>
    <mergeCell ref="A18:D18"/>
    <mergeCell ref="A19:D19"/>
    <mergeCell ref="A20:D20"/>
    <mergeCell ref="A21:D21"/>
    <mergeCell ref="A1:D2"/>
  </mergeCells>
  <dataValidations count="3">
    <dataValidation type="decimal" operator="between" sqref="B11">
      <formula1>0.0001</formula1>
      <formula2>1000</formula2>
    </dataValidation>
    <dataValidation type="decimal" operator="between" sqref="B12 B14">
      <formula1>0.1</formula1>
      <formula2>1000</formula2>
    </dataValidation>
    <dataValidation type="decimal" operator="between" sqref="B13">
      <formula1>0</formula1>
      <formula2>5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5"/>
  <sheetViews>
    <sheetView showGridLines="0" tabSelected="1" zoomScale="72" zoomScaleNormal="72" topLeftCell="A31" workbookViewId="0">
      <selection activeCell="H109" sqref="H109"/>
    </sheetView>
  </sheetViews>
  <sheetFormatPr defaultColWidth="9" defaultRowHeight="13.8" outlineLevelCol="7"/>
  <cols>
    <col min="1" max="1" width="15" customWidth="1"/>
    <col min="2" max="2" width="30" customWidth="1"/>
    <col min="3" max="4" width="18" customWidth="1"/>
    <col min="5" max="5" width="23" customWidth="1"/>
    <col min="6" max="6" width="18" customWidth="1"/>
    <col min="7" max="7" width="40" customWidth="1"/>
    <col min="8" max="8" width="36" customWidth="1"/>
  </cols>
  <sheetData>
    <row r="1" ht="30" customHeight="1" spans="1:8">
      <c r="A1" s="1" t="s">
        <v>51</v>
      </c>
      <c r="B1" s="1"/>
      <c r="C1" s="1"/>
      <c r="D1" s="1"/>
      <c r="E1" s="1"/>
      <c r="F1" s="1"/>
      <c r="G1" s="1"/>
    </row>
    <row r="2" ht="30" customHeight="1" spans="1:8">
      <c r="A2" s="1"/>
      <c r="B2" s="1"/>
      <c r="C2" s="1"/>
      <c r="D2" s="1"/>
      <c r="E2" s="1"/>
      <c r="F2" s="1"/>
      <c r="G2" s="1"/>
      <c r="H2" s="1"/>
    </row>
    <row r="3" ht="32" customHeight="1" spans="1:8">
      <c r="A3" s="2" t="s">
        <v>52</v>
      </c>
      <c r="B3" s="2"/>
      <c r="C3" s="2"/>
      <c r="D3" s="2"/>
      <c r="E3" s="2"/>
      <c r="F3" s="2"/>
      <c r="G3" s="2"/>
      <c r="H3" s="2"/>
    </row>
    <row r="5" ht="38" customHeight="1" spans="1:8">
      <c r="A5" s="3" t="s">
        <v>53</v>
      </c>
      <c r="B5" s="3" t="s">
        <v>54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59</v>
      </c>
    </row>
    <row r="6" ht="24" customHeight="1" spans="1:8">
      <c r="A6" s="4" t="s">
        <v>60</v>
      </c>
      <c r="B6" s="5" t="s">
        <v>61</v>
      </c>
      <c r="C6" s="6">
        <v>32</v>
      </c>
      <c r="D6" s="7">
        <f>IF(OR(B6="",C6="",实验设置!$B$11="",实验设置!$B$13=""),"",实验设置!$B$13*实验设置!$B$11*实验设置!$B$16*COS(RADIANS(C6)))</f>
        <v>0.337615744319013</v>
      </c>
      <c r="E6" s="7">
        <f>IF(OR(B6="",C6="",实验设置!$B$13=""),"",实验设置!$B$16*(SIN(RADIANS(C6))-实验设置!$B$13*COS(RADIANS(C6))))</f>
        <v>1.34618822340673</v>
      </c>
      <c r="F6" s="5"/>
      <c r="G6" s="5"/>
    </row>
    <row r="7" ht="24" customHeight="1" spans="1:8">
      <c r="A7" s="4" t="s">
        <v>62</v>
      </c>
      <c r="B7" s="5" t="s">
        <v>63</v>
      </c>
      <c r="C7" s="6">
        <v>32</v>
      </c>
      <c r="D7" s="7">
        <f>IF(OR(B7="",C7="",实验设置!$B$11="",实验设置!$B$13=""),"",实验设置!$B$13*实验设置!$B$11*实验设置!$B$16*COS(RADIANS(C7)))</f>
        <v>0.337615744319013</v>
      </c>
      <c r="E7" s="7">
        <f>IF(OR(B7="",C7="",实验设置!$B$13=""),"",实验设置!$B$16*(SIN(RADIANS(C7))-实验设置!$B$13*COS(RADIANS(C7))))</f>
        <v>1.34618822340673</v>
      </c>
      <c r="F7" s="5"/>
      <c r="G7" s="5"/>
    </row>
    <row r="8" ht="24" customHeight="1" spans="1:8">
      <c r="A8" s="4" t="s">
        <v>64</v>
      </c>
      <c r="B8" s="5" t="s">
        <v>65</v>
      </c>
      <c r="C8" s="6">
        <v>32</v>
      </c>
      <c r="D8" s="7">
        <f>IF(OR(B8="",C8="",实验设置!$B$11="",实验设置!$B$13=""),"",实验设置!$B$13*实验设置!$B$11*实验设置!$B$16*COS(RADIANS(C8)))</f>
        <v>0.337615744319013</v>
      </c>
      <c r="E8" s="7">
        <f>IF(OR(B8="",C8="",实验设置!$B$13=""),"",实验设置!$B$16*(SIN(RADIANS(C8))-实验设置!$B$13*COS(RADIANS(C8))))</f>
        <v>1.34618822340673</v>
      </c>
      <c r="F8" s="5"/>
      <c r="G8" s="5"/>
    </row>
    <row r="9" ht="24" customHeight="1" spans="1:8">
      <c r="A9" s="4" t="s">
        <v>66</v>
      </c>
      <c r="B9" s="5" t="s">
        <v>67</v>
      </c>
      <c r="C9" s="6">
        <v>32</v>
      </c>
      <c r="D9" s="7">
        <f>IF(OR(B9="",C9="",实验设置!$B$11="",实验设置!$B$13=""),"",实验设置!$B$13*实验设置!$B$11*实验设置!$B$16*COS(RADIANS(C9)))</f>
        <v>0.337615744319013</v>
      </c>
      <c r="E9" s="7">
        <f>IF(OR(B9="",C9="",实验设置!$B$13=""),"",实验设置!$B$16*(SIN(RADIANS(C9))-实验设置!$B$13*COS(RADIANS(C9))))</f>
        <v>1.34618822340673</v>
      </c>
      <c r="F9" s="5"/>
      <c r="G9" s="5"/>
    </row>
    <row r="10" ht="24" customHeight="1" spans="1:8">
      <c r="A10" s="4" t="s">
        <v>68</v>
      </c>
      <c r="B10" s="5" t="s">
        <v>69</v>
      </c>
      <c r="C10" s="6">
        <v>32</v>
      </c>
      <c r="D10" s="7">
        <f>IF(OR(B10="",C10="",实验设置!$B$11="",实验设置!$B$13=""),"",实验设置!$B$13*实验设置!$B$11*实验设置!$B$16*COS(RADIANS(C10)))</f>
        <v>0.337615744319013</v>
      </c>
      <c r="E10" s="7">
        <f>IF(OR(B10="",C10="",实验设置!$B$13=""),"",实验设置!$B$16*(SIN(RADIANS(C10))-实验设置!$B$13*COS(RADIANS(C10))))</f>
        <v>1.34618822340673</v>
      </c>
      <c r="F10" s="5"/>
      <c r="G10" s="5"/>
    </row>
    <row r="11" ht="24" customHeight="1" spans="1:8">
      <c r="A11" s="4" t="s">
        <v>70</v>
      </c>
      <c r="B11" s="5" t="s">
        <v>71</v>
      </c>
      <c r="C11" s="6">
        <v>32</v>
      </c>
      <c r="D11" s="7">
        <f>IF(OR(B11="",C11="",实验设置!$B$11="",实验设置!$B$13=""),"",实验设置!$B$13*实验设置!$B$11*实验设置!$B$16*COS(RADIANS(C11)))</f>
        <v>0.337615744319013</v>
      </c>
      <c r="E11" s="7">
        <f>IF(OR(B11="",C11="",实验设置!$B$13=""),"",实验设置!$B$16*(SIN(RADIANS(C11))-实验设置!$B$13*COS(RADIANS(C11))))</f>
        <v>1.34618822340673</v>
      </c>
      <c r="F11" s="8" t="s">
        <v>72</v>
      </c>
      <c r="G11" s="8" t="s">
        <v>73</v>
      </c>
    </row>
    <row r="12" ht="24" customHeight="1" spans="1:8">
      <c r="A12" s="4" t="s">
        <v>74</v>
      </c>
      <c r="B12" s="5" t="s">
        <v>75</v>
      </c>
      <c r="C12" s="6">
        <v>32</v>
      </c>
      <c r="D12" s="7">
        <f>IF(OR(B12="",C12="",实验设置!$B$11="",实验设置!$B$13=""),"",实验设置!$B$13*实验设置!$B$11*实验设置!$B$16*COS(RADIANS(C12)))</f>
        <v>0.337615744319013</v>
      </c>
      <c r="E12" s="7">
        <f>IF(OR(B12="",C12="",实验设置!$B$13=""),"",实验设置!$B$16*(SIN(RADIANS(C12))-实验设置!$B$13*COS(RADIANS(C12))))</f>
        <v>1.34618822340673</v>
      </c>
      <c r="F12" s="8" t="s">
        <v>72</v>
      </c>
      <c r="G12" s="8" t="s">
        <v>73</v>
      </c>
    </row>
    <row r="13" ht="24" customHeight="1" spans="1:8">
      <c r="A13" s="4" t="s">
        <v>76</v>
      </c>
      <c r="B13" s="5" t="s">
        <v>77</v>
      </c>
      <c r="C13" s="6">
        <v>32</v>
      </c>
      <c r="D13" s="7">
        <f>IF(OR(B13="",C13="",实验设置!$B$11="",实验设置!$B$13=""),"",实验设置!$B$13*实验设置!$B$11*实验设置!$B$16*COS(RADIANS(C13)))</f>
        <v>0.337615744319013</v>
      </c>
      <c r="E13" s="7">
        <f>IF(OR(B13="",C13="",实验设置!$B$13=""),"",实验设置!$B$16*(SIN(RADIANS(C13))-实验设置!$B$13*COS(RADIANS(C13))))</f>
        <v>1.34618822340673</v>
      </c>
      <c r="F13" s="8" t="s">
        <v>72</v>
      </c>
      <c r="G13" s="8" t="s">
        <v>73</v>
      </c>
    </row>
    <row r="14" ht="24" customHeight="1" spans="1:8">
      <c r="A14" s="4" t="s">
        <v>78</v>
      </c>
      <c r="B14" s="5" t="s">
        <v>79</v>
      </c>
      <c r="C14" s="6">
        <v>32</v>
      </c>
      <c r="D14" s="7">
        <f>IF(OR(B14="",C14="",实验设置!$B$11="",实验设置!$B$13=""),"",实验设置!$B$13*实验设置!$B$11*实验设置!$B$16*COS(RADIANS(C14)))</f>
        <v>0.337615744319013</v>
      </c>
      <c r="E14" s="7">
        <f>IF(OR(B14="",C14="",实验设置!$B$13=""),"",实验设置!$B$16*(SIN(RADIANS(C14))-实验设置!$B$13*COS(RADIANS(C14))))</f>
        <v>1.34618822340673</v>
      </c>
      <c r="F14" s="8" t="s">
        <v>72</v>
      </c>
      <c r="G14" s="8" t="s">
        <v>73</v>
      </c>
    </row>
    <row r="15" ht="24" customHeight="1" spans="1:8">
      <c r="A15" s="4" t="s">
        <v>80</v>
      </c>
      <c r="B15" s="5" t="s">
        <v>81</v>
      </c>
      <c r="C15" s="6">
        <v>32</v>
      </c>
      <c r="D15" s="7">
        <f>IF(OR(B15="",C15="",实验设置!$B$11="",实验设置!$B$13=""),"",实验设置!$B$13*实验设置!$B$11*实验设置!$B$16*COS(RADIANS(C15)))</f>
        <v>0.337615744319013</v>
      </c>
      <c r="E15" s="7">
        <f>IF(OR(B15="",C15="",实验设置!$B$13=""),"",实验设置!$B$16*(SIN(RADIANS(C15))-实验设置!$B$13*COS(RADIANS(C15))))</f>
        <v>1.34618822340673</v>
      </c>
      <c r="F15" s="8" t="s">
        <v>72</v>
      </c>
      <c r="G15" s="8" t="s">
        <v>73</v>
      </c>
    </row>
    <row r="16" ht="24" customHeight="1" spans="1:8">
      <c r="A16" s="4" t="s">
        <v>82</v>
      </c>
      <c r="B16" s="5" t="s">
        <v>83</v>
      </c>
      <c r="C16" s="6">
        <v>32</v>
      </c>
      <c r="D16" s="7">
        <f>IF(OR(B16="",C16="",实验设置!$B$11="",实验设置!$B$13=""),"",实验设置!$B$13*实验设置!$B$11*实验设置!$B$16*COS(RADIANS(C16)))</f>
        <v>0.337615744319013</v>
      </c>
      <c r="E16" s="7">
        <f>IF(OR(B16="",C16="",实验设置!$B$13=""),"",实验设置!$B$16*(SIN(RADIANS(C16))-实验设置!$B$13*COS(RADIANS(C16))))</f>
        <v>1.34618822340673</v>
      </c>
      <c r="F16" s="8" t="s">
        <v>72</v>
      </c>
      <c r="G16" s="8" t="s">
        <v>84</v>
      </c>
    </row>
    <row r="17" ht="24" customHeight="1" spans="1:7">
      <c r="A17" s="4" t="s">
        <v>85</v>
      </c>
      <c r="B17" s="5" t="s">
        <v>86</v>
      </c>
      <c r="C17" s="6">
        <v>32</v>
      </c>
      <c r="D17" s="7">
        <f>IF(OR(B17="",C17="",实验设置!$B$11="",实验设置!$B$13=""),"",实验设置!$B$13*实验设置!$B$11*实验设置!$B$16*COS(RADIANS(C17)))</f>
        <v>0.337615744319013</v>
      </c>
      <c r="E17" s="7">
        <f>IF(OR(B17="",C17="",实验设置!$B$13=""),"",实验设置!$B$16*(SIN(RADIANS(C17))-实验设置!$B$13*COS(RADIANS(C17))))</f>
        <v>1.34618822340673</v>
      </c>
      <c r="F17" s="8" t="s">
        <v>72</v>
      </c>
      <c r="G17" s="8" t="s">
        <v>84</v>
      </c>
    </row>
    <row r="18" ht="24" customHeight="1" spans="1:7">
      <c r="A18" s="4" t="s">
        <v>87</v>
      </c>
      <c r="B18" s="5" t="s">
        <v>88</v>
      </c>
      <c r="C18" s="6">
        <v>32</v>
      </c>
      <c r="D18" s="7">
        <f>IF(OR(B18="",C18="",实验设置!$B$11="",实验设置!$B$13=""),"",实验设置!$B$13*实验设置!$B$11*实验设置!$B$16*COS(RADIANS(C18)))</f>
        <v>0.337615744319013</v>
      </c>
      <c r="E18" s="7">
        <f>IF(OR(B18="",C18="",实验设置!$B$13=""),"",实验设置!$B$16*(SIN(RADIANS(C18))-实验设置!$B$13*COS(RADIANS(C18))))</f>
        <v>1.34618822340673</v>
      </c>
      <c r="F18" s="8" t="s">
        <v>72</v>
      </c>
      <c r="G18" s="8" t="s">
        <v>84</v>
      </c>
    </row>
    <row r="19" ht="24" customHeight="1" spans="1:7">
      <c r="A19" s="4" t="s">
        <v>89</v>
      </c>
      <c r="B19" s="5" t="s">
        <v>90</v>
      </c>
      <c r="C19" s="6">
        <v>32</v>
      </c>
      <c r="D19" s="7">
        <f>IF(OR(B19="",C19="",实验设置!$B$11="",实验设置!$B$13=""),"",实验设置!$B$13*实验设置!$B$11*实验设置!$B$16*COS(RADIANS(C19)))</f>
        <v>0.337615744319013</v>
      </c>
      <c r="E19" s="7">
        <f>IF(OR(B19="",C19="",实验设置!$B$13=""),"",实验设置!$B$16*(SIN(RADIANS(C19))-实验设置!$B$13*COS(RADIANS(C19))))</f>
        <v>1.34618822340673</v>
      </c>
      <c r="F19" s="8" t="s">
        <v>72</v>
      </c>
      <c r="G19" s="8" t="s">
        <v>84</v>
      </c>
    </row>
    <row r="20" ht="24" customHeight="1" spans="1:7">
      <c r="A20" s="4" t="s">
        <v>91</v>
      </c>
      <c r="B20" s="5" t="s">
        <v>92</v>
      </c>
      <c r="C20" s="6">
        <v>32</v>
      </c>
      <c r="D20" s="7">
        <f>IF(OR(B20="",C20="",实验设置!$B$11="",实验设置!$B$13=""),"",实验设置!$B$13*实验设置!$B$11*实验设置!$B$16*COS(RADIANS(C20)))</f>
        <v>0.337615744319013</v>
      </c>
      <c r="E20" s="7">
        <f>IF(OR(B20="",C20="",实验设置!$B$13=""),"",实验设置!$B$16*(SIN(RADIANS(C20))-实验设置!$B$13*COS(RADIANS(C20))))</f>
        <v>1.34618822340673</v>
      </c>
      <c r="F20" s="8" t="s">
        <v>72</v>
      </c>
      <c r="G20" s="8" t="s">
        <v>84</v>
      </c>
    </row>
    <row r="21" ht="24" customHeight="1" spans="1:7">
      <c r="A21" s="4" t="s">
        <v>93</v>
      </c>
      <c r="B21" s="5" t="s">
        <v>94</v>
      </c>
      <c r="C21" s="6">
        <v>32</v>
      </c>
      <c r="D21" s="7">
        <f>IF(OR(B21="",C21="",实验设置!$B$11="",实验设置!$B$13=""),"",实验设置!$B$13*实验设置!$B$11*实验设置!$B$16*COS(RADIANS(C21)))</f>
        <v>0.337615744319013</v>
      </c>
      <c r="E21" s="7">
        <f>IF(OR(B21="",C21="",实验设置!$B$13=""),"",实验设置!$B$16*(SIN(RADIANS(C21))-实验设置!$B$13*COS(RADIANS(C21))))</f>
        <v>1.34618822340673</v>
      </c>
      <c r="F21" s="8" t="s">
        <v>72</v>
      </c>
      <c r="G21" s="8" t="s">
        <v>95</v>
      </c>
    </row>
    <row r="22" ht="24" customHeight="1" spans="1:7">
      <c r="A22" s="4" t="s">
        <v>96</v>
      </c>
      <c r="B22" s="5" t="s">
        <v>97</v>
      </c>
      <c r="C22" s="6">
        <v>32</v>
      </c>
      <c r="D22" s="7">
        <f>IF(OR(B22="",C22="",实验设置!$B$11="",实验设置!$B$13=""),"",实验设置!$B$13*实验设置!$B$11*实验设置!$B$16*COS(RADIANS(C22)))</f>
        <v>0.337615744319013</v>
      </c>
      <c r="E22" s="7">
        <f>IF(OR(B22="",C22="",实验设置!$B$13=""),"",实验设置!$B$16*(SIN(RADIANS(C22))-实验设置!$B$13*COS(RADIANS(C22))))</f>
        <v>1.34618822340673</v>
      </c>
      <c r="F22" s="8" t="s">
        <v>72</v>
      </c>
      <c r="G22" s="8" t="s">
        <v>95</v>
      </c>
    </row>
    <row r="23" ht="24" customHeight="1" spans="1:7">
      <c r="A23" s="4" t="s">
        <v>98</v>
      </c>
      <c r="B23" s="5" t="s">
        <v>99</v>
      </c>
      <c r="C23" s="6">
        <v>32</v>
      </c>
      <c r="D23" s="7">
        <f>IF(OR(B23="",C23="",实验设置!$B$11="",实验设置!$B$13=""),"",实验设置!$B$13*实验设置!$B$11*实验设置!$B$16*COS(RADIANS(C23)))</f>
        <v>0.337615744319013</v>
      </c>
      <c r="E23" s="7">
        <f>IF(OR(B23="",C23="",实验设置!$B$13=""),"",实验设置!$B$16*(SIN(RADIANS(C23))-实验设置!$B$13*COS(RADIANS(C23))))</f>
        <v>1.34618822340673</v>
      </c>
      <c r="F23" s="8" t="s">
        <v>72</v>
      </c>
      <c r="G23" s="8" t="s">
        <v>95</v>
      </c>
    </row>
    <row r="24" ht="24" customHeight="1" spans="1:7">
      <c r="A24" s="4" t="s">
        <v>100</v>
      </c>
      <c r="B24" s="5" t="s">
        <v>101</v>
      </c>
      <c r="C24" s="6">
        <v>32</v>
      </c>
      <c r="D24" s="7">
        <f>IF(OR(B24="",C24="",实验设置!$B$11="",实验设置!$B$13=""),"",实验设置!$B$13*实验设置!$B$11*实验设置!$B$16*COS(RADIANS(C24)))</f>
        <v>0.337615744319013</v>
      </c>
      <c r="E24" s="7">
        <f>IF(OR(B24="",C24="",实验设置!$B$13=""),"",实验设置!$B$16*(SIN(RADIANS(C24))-实验设置!$B$13*COS(RADIANS(C24))))</f>
        <v>1.34618822340673</v>
      </c>
      <c r="F24" s="8" t="s">
        <v>72</v>
      </c>
      <c r="G24" s="8" t="s">
        <v>95</v>
      </c>
    </row>
    <row r="25" ht="24" customHeight="1" spans="1:7">
      <c r="A25" s="4" t="s">
        <v>102</v>
      </c>
      <c r="B25" s="5" t="s">
        <v>103</v>
      </c>
      <c r="C25" s="6">
        <v>32</v>
      </c>
      <c r="D25" s="7">
        <f>IF(OR(B25="",C25="",实验设置!$B$11="",实验设置!$B$13=""),"",实验设置!$B$13*实验设置!$B$11*实验设置!$B$16*COS(RADIANS(C25)))</f>
        <v>0.337615744319013</v>
      </c>
      <c r="E25" s="7">
        <f>IF(OR(B25="",C25="",实验设置!$B$13=""),"",实验设置!$B$16*(SIN(RADIANS(C25))-实验设置!$B$13*COS(RADIANS(C25))))</f>
        <v>1.34618822340673</v>
      </c>
      <c r="F25" s="8" t="s">
        <v>72</v>
      </c>
      <c r="G25" s="8" t="s">
        <v>95</v>
      </c>
    </row>
    <row r="26" ht="24" customHeight="1" spans="1:7">
      <c r="A26" s="4" t="s">
        <v>104</v>
      </c>
      <c r="B26" s="5" t="s">
        <v>105</v>
      </c>
      <c r="C26" s="6">
        <v>35</v>
      </c>
      <c r="D26" s="7">
        <f>IF(OR(B26="",C26="",实验设置!$B$11="",实验设置!$B$13=""),"",实验设置!$B$13*实验设置!$B$11*实验设置!$B$16*COS(RADIANS(C26)))</f>
        <v>0.326111960390578</v>
      </c>
      <c r="E26" s="7">
        <f>IF(OR(B26="",C26="",实验设置!$B$13=""),"",实验设置!$B$16*(SIN(RADIANS(C26))-实验设置!$B$13*COS(RADIANS(C26))))</f>
        <v>1.90552074559835</v>
      </c>
      <c r="F26" s="5"/>
      <c r="G26" s="5"/>
    </row>
    <row r="27" ht="24" customHeight="1" spans="1:7">
      <c r="A27" s="4" t="s">
        <v>106</v>
      </c>
      <c r="B27" s="5" t="s">
        <v>107</v>
      </c>
      <c r="C27" s="6">
        <v>35</v>
      </c>
      <c r="D27" s="7">
        <f>IF(OR(B27="",C27="",实验设置!$B$11="",实验设置!$B$13=""),"",实验设置!$B$13*实验设置!$B$11*实验设置!$B$16*COS(RADIANS(C27)))</f>
        <v>0.326111960390578</v>
      </c>
      <c r="E27" s="7">
        <f>IF(OR(B27="",C27="",实验设置!$B$13=""),"",实验设置!$B$16*(SIN(RADIANS(C27))-实验设置!$B$13*COS(RADIANS(C27))))</f>
        <v>1.90552074559835</v>
      </c>
      <c r="F27" s="5"/>
      <c r="G27" s="5"/>
    </row>
    <row r="28" ht="24" customHeight="1" spans="1:7">
      <c r="A28" s="4" t="s">
        <v>108</v>
      </c>
      <c r="B28" s="5" t="s">
        <v>109</v>
      </c>
      <c r="C28" s="6">
        <v>35</v>
      </c>
      <c r="D28" s="7">
        <f>IF(OR(B28="",C28="",实验设置!$B$11="",实验设置!$B$13=""),"",实验设置!$B$13*实验设置!$B$11*实验设置!$B$16*COS(RADIANS(C28)))</f>
        <v>0.326111960390578</v>
      </c>
      <c r="E28" s="7">
        <f>IF(OR(B28="",C28="",实验设置!$B$13=""),"",实验设置!$B$16*(SIN(RADIANS(C28))-实验设置!$B$13*COS(RADIANS(C28))))</f>
        <v>1.90552074559835</v>
      </c>
      <c r="F28" s="5"/>
      <c r="G28" s="5"/>
    </row>
    <row r="29" ht="24" customHeight="1" spans="1:7">
      <c r="A29" s="4" t="s">
        <v>110</v>
      </c>
      <c r="B29" s="5" t="s">
        <v>111</v>
      </c>
      <c r="C29" s="6">
        <v>35</v>
      </c>
      <c r="D29" s="7">
        <f>IF(OR(B29="",C29="",实验设置!$B$11="",实验设置!$B$13=""),"",实验设置!$B$13*实验设置!$B$11*实验设置!$B$16*COS(RADIANS(C29)))</f>
        <v>0.326111960390578</v>
      </c>
      <c r="E29" s="7">
        <f>IF(OR(B29="",C29="",实验设置!$B$13=""),"",实验设置!$B$16*(SIN(RADIANS(C29))-实验设置!$B$13*COS(RADIANS(C29))))</f>
        <v>1.90552074559835</v>
      </c>
      <c r="F29" s="5"/>
      <c r="G29" s="5"/>
    </row>
    <row r="30" ht="24" customHeight="1" spans="1:7">
      <c r="A30" s="4" t="s">
        <v>112</v>
      </c>
      <c r="B30" s="5" t="s">
        <v>113</v>
      </c>
      <c r="C30" s="6">
        <v>35</v>
      </c>
      <c r="D30" s="7">
        <f>IF(OR(B30="",C30="",实验设置!$B$11="",实验设置!$B$13=""),"",实验设置!$B$13*实验设置!$B$11*实验设置!$B$16*COS(RADIANS(C30)))</f>
        <v>0.326111960390578</v>
      </c>
      <c r="E30" s="7">
        <f>IF(OR(B30="",C30="",实验设置!$B$13=""),"",实验设置!$B$16*(SIN(RADIANS(C30))-实验设置!$B$13*COS(RADIANS(C30))))</f>
        <v>1.90552074559835</v>
      </c>
      <c r="F30" s="5"/>
      <c r="G30" s="5"/>
    </row>
    <row r="31" ht="24" customHeight="1" spans="1:7">
      <c r="A31" s="4" t="s">
        <v>114</v>
      </c>
      <c r="B31" s="5" t="s">
        <v>115</v>
      </c>
      <c r="C31" s="6">
        <v>35</v>
      </c>
      <c r="D31" s="7">
        <f>IF(OR(B31="",C31="",实验设置!$B$11="",实验设置!$B$13=""),"",实验设置!$B$13*实验设置!$B$11*实验设置!$B$16*COS(RADIANS(C31)))</f>
        <v>0.326111960390578</v>
      </c>
      <c r="E31" s="7">
        <f>IF(OR(B31="",C31="",实验设置!$B$13=""),"",实验设置!$B$16*(SIN(RADIANS(C31))-实验设置!$B$13*COS(RADIANS(C31))))</f>
        <v>1.90552074559835</v>
      </c>
      <c r="F31" s="8" t="s">
        <v>72</v>
      </c>
      <c r="G31" s="8" t="s">
        <v>73</v>
      </c>
    </row>
    <row r="32" ht="24" customHeight="1" spans="1:7">
      <c r="A32" s="4" t="s">
        <v>116</v>
      </c>
      <c r="B32" s="5" t="s">
        <v>117</v>
      </c>
      <c r="C32" s="6">
        <v>35</v>
      </c>
      <c r="D32" s="7">
        <f>IF(OR(B32="",C32="",实验设置!$B$11="",实验设置!$B$13=""),"",实验设置!$B$13*实验设置!$B$11*实验设置!$B$16*COS(RADIANS(C32)))</f>
        <v>0.326111960390578</v>
      </c>
      <c r="E32" s="7">
        <f>IF(OR(B32="",C32="",实验设置!$B$13=""),"",实验设置!$B$16*(SIN(RADIANS(C32))-实验设置!$B$13*COS(RADIANS(C32))))</f>
        <v>1.90552074559835</v>
      </c>
      <c r="F32" s="8" t="s">
        <v>72</v>
      </c>
      <c r="G32" s="8" t="s">
        <v>73</v>
      </c>
    </row>
    <row r="33" ht="24" customHeight="1" spans="1:7">
      <c r="A33" s="4" t="s">
        <v>118</v>
      </c>
      <c r="B33" s="5" t="s">
        <v>119</v>
      </c>
      <c r="C33" s="6">
        <v>35</v>
      </c>
      <c r="D33" s="7">
        <f>IF(OR(B33="",C33="",实验设置!$B$11="",实验设置!$B$13=""),"",实验设置!$B$13*实验设置!$B$11*实验设置!$B$16*COS(RADIANS(C33)))</f>
        <v>0.326111960390578</v>
      </c>
      <c r="E33" s="7">
        <f>IF(OR(B33="",C33="",实验设置!$B$13=""),"",实验设置!$B$16*(SIN(RADIANS(C33))-实验设置!$B$13*COS(RADIANS(C33))))</f>
        <v>1.90552074559835</v>
      </c>
      <c r="F33" s="8" t="s">
        <v>72</v>
      </c>
      <c r="G33" s="8" t="s">
        <v>73</v>
      </c>
    </row>
    <row r="34" ht="24" customHeight="1" spans="1:7">
      <c r="A34" s="4" t="s">
        <v>120</v>
      </c>
      <c r="B34" s="5" t="s">
        <v>121</v>
      </c>
      <c r="C34" s="6">
        <v>35</v>
      </c>
      <c r="D34" s="7">
        <f>IF(OR(B34="",C34="",实验设置!$B$11="",实验设置!$B$13=""),"",实验设置!$B$13*实验设置!$B$11*实验设置!$B$16*COS(RADIANS(C34)))</f>
        <v>0.326111960390578</v>
      </c>
      <c r="E34" s="7">
        <f>IF(OR(B34="",C34="",实验设置!$B$13=""),"",实验设置!$B$16*(SIN(RADIANS(C34))-实验设置!$B$13*COS(RADIANS(C34))))</f>
        <v>1.90552074559835</v>
      </c>
      <c r="F34" s="8" t="s">
        <v>72</v>
      </c>
      <c r="G34" s="8" t="s">
        <v>73</v>
      </c>
    </row>
    <row r="35" ht="24" customHeight="1" spans="1:7">
      <c r="A35" s="4" t="s">
        <v>122</v>
      </c>
      <c r="B35" s="5" t="s">
        <v>123</v>
      </c>
      <c r="C35" s="6">
        <v>35</v>
      </c>
      <c r="D35" s="7">
        <f>IF(OR(B35="",C35="",实验设置!$B$11="",实验设置!$B$13=""),"",实验设置!$B$13*实验设置!$B$11*实验设置!$B$16*COS(RADIANS(C35)))</f>
        <v>0.326111960390578</v>
      </c>
      <c r="E35" s="7">
        <f>IF(OR(B35="",C35="",实验设置!$B$13=""),"",实验设置!$B$16*(SIN(RADIANS(C35))-实验设置!$B$13*COS(RADIANS(C35))))</f>
        <v>1.90552074559835</v>
      </c>
      <c r="F35" s="8" t="s">
        <v>72</v>
      </c>
      <c r="G35" s="8" t="s">
        <v>73</v>
      </c>
    </row>
    <row r="36" ht="24" customHeight="1" spans="1:7">
      <c r="A36" s="4" t="s">
        <v>124</v>
      </c>
      <c r="B36" s="5" t="s">
        <v>125</v>
      </c>
      <c r="C36" s="6">
        <v>35</v>
      </c>
      <c r="D36" s="7">
        <f>IF(OR(B36="",C36="",实验设置!$B$11="",实验设置!$B$13=""),"",实验设置!$B$13*实验设置!$B$11*实验设置!$B$16*COS(RADIANS(C36)))</f>
        <v>0.326111960390578</v>
      </c>
      <c r="E36" s="7">
        <f>IF(OR(B36="",C36="",实验设置!$B$13=""),"",实验设置!$B$16*(SIN(RADIANS(C36))-实验设置!$B$13*COS(RADIANS(C36))))</f>
        <v>1.90552074559835</v>
      </c>
      <c r="F36" s="8" t="s">
        <v>72</v>
      </c>
      <c r="G36" s="8" t="s">
        <v>84</v>
      </c>
    </row>
    <row r="37" ht="24" customHeight="1" spans="1:7">
      <c r="A37" s="4" t="s">
        <v>126</v>
      </c>
      <c r="B37" s="5" t="s">
        <v>127</v>
      </c>
      <c r="C37" s="6">
        <v>35</v>
      </c>
      <c r="D37" s="7">
        <f>IF(OR(B37="",C37="",实验设置!$B$11="",实验设置!$B$13=""),"",实验设置!$B$13*实验设置!$B$11*实验设置!$B$16*COS(RADIANS(C37)))</f>
        <v>0.326111960390578</v>
      </c>
      <c r="E37" s="7">
        <f>IF(OR(B37="",C37="",实验设置!$B$13=""),"",实验设置!$B$16*(SIN(RADIANS(C37))-实验设置!$B$13*COS(RADIANS(C37))))</f>
        <v>1.90552074559835</v>
      </c>
      <c r="F37" s="8" t="s">
        <v>72</v>
      </c>
      <c r="G37" s="8" t="s">
        <v>84</v>
      </c>
    </row>
    <row r="38" ht="24" customHeight="1" spans="1:7">
      <c r="A38" s="4" t="s">
        <v>128</v>
      </c>
      <c r="B38" s="5" t="s">
        <v>129</v>
      </c>
      <c r="C38" s="6">
        <v>35</v>
      </c>
      <c r="D38" s="7">
        <f>IF(OR(B38="",C38="",实验设置!$B$11="",实验设置!$B$13=""),"",实验设置!$B$13*实验设置!$B$11*实验设置!$B$16*COS(RADIANS(C38)))</f>
        <v>0.326111960390578</v>
      </c>
      <c r="E38" s="7">
        <f>IF(OR(B38="",C38="",实验设置!$B$13=""),"",实验设置!$B$16*(SIN(RADIANS(C38))-实验设置!$B$13*COS(RADIANS(C38))))</f>
        <v>1.90552074559835</v>
      </c>
      <c r="F38" s="8" t="s">
        <v>72</v>
      </c>
      <c r="G38" s="8" t="s">
        <v>84</v>
      </c>
    </row>
    <row r="39" ht="24" customHeight="1" spans="1:7">
      <c r="A39" s="4" t="s">
        <v>130</v>
      </c>
      <c r="B39" s="5" t="s">
        <v>131</v>
      </c>
      <c r="C39" s="6">
        <v>35</v>
      </c>
      <c r="D39" s="7">
        <f>IF(OR(B39="",C39="",实验设置!$B$11="",实验设置!$B$13=""),"",实验设置!$B$13*实验设置!$B$11*实验设置!$B$16*COS(RADIANS(C39)))</f>
        <v>0.326111960390578</v>
      </c>
      <c r="E39" s="7">
        <f>IF(OR(B39="",C39="",实验设置!$B$13=""),"",实验设置!$B$16*(SIN(RADIANS(C39))-实验设置!$B$13*COS(RADIANS(C39))))</f>
        <v>1.90552074559835</v>
      </c>
      <c r="F39" s="8" t="s">
        <v>72</v>
      </c>
      <c r="G39" s="8" t="s">
        <v>84</v>
      </c>
    </row>
    <row r="40" ht="24" customHeight="1" spans="1:7">
      <c r="A40" s="4" t="s">
        <v>132</v>
      </c>
      <c r="B40" s="5" t="s">
        <v>133</v>
      </c>
      <c r="C40" s="6">
        <v>35</v>
      </c>
      <c r="D40" s="7">
        <f>IF(OR(B40="",C40="",实验设置!$B$11="",实验设置!$B$13=""),"",实验设置!$B$13*实验设置!$B$11*实验设置!$B$16*COS(RADIANS(C40)))</f>
        <v>0.326111960390578</v>
      </c>
      <c r="E40" s="7">
        <f>IF(OR(B40="",C40="",实验设置!$B$13=""),"",实验设置!$B$16*(SIN(RADIANS(C40))-实验设置!$B$13*COS(RADIANS(C40))))</f>
        <v>1.90552074559835</v>
      </c>
      <c r="F40" s="8" t="s">
        <v>72</v>
      </c>
      <c r="G40" s="8" t="s">
        <v>84</v>
      </c>
    </row>
    <row r="41" ht="24" customHeight="1" spans="1:7">
      <c r="A41" s="4" t="s">
        <v>134</v>
      </c>
      <c r="B41" s="5" t="s">
        <v>135</v>
      </c>
      <c r="C41" s="6">
        <v>35</v>
      </c>
      <c r="D41" s="7">
        <f>IF(OR(B41="",C41="",实验设置!$B$11="",实验设置!$B$13=""),"",实验设置!$B$13*实验设置!$B$11*实验设置!$B$16*COS(RADIANS(C41)))</f>
        <v>0.326111960390578</v>
      </c>
      <c r="E41" s="7">
        <f>IF(OR(B41="",C41="",实验设置!$B$13=""),"",实验设置!$B$16*(SIN(RADIANS(C41))-实验设置!$B$13*COS(RADIANS(C41))))</f>
        <v>1.90552074559835</v>
      </c>
      <c r="F41" s="8" t="s">
        <v>72</v>
      </c>
      <c r="G41" s="8" t="s">
        <v>95</v>
      </c>
    </row>
    <row r="42" ht="24" customHeight="1" spans="1:7">
      <c r="A42" s="4" t="s">
        <v>136</v>
      </c>
      <c r="B42" s="5" t="s">
        <v>137</v>
      </c>
      <c r="C42" s="6">
        <v>35</v>
      </c>
      <c r="D42" s="7">
        <f>IF(OR(B42="",C42="",实验设置!$B$11="",实验设置!$B$13=""),"",实验设置!$B$13*实验设置!$B$11*实验设置!$B$16*COS(RADIANS(C42)))</f>
        <v>0.326111960390578</v>
      </c>
      <c r="E42" s="7">
        <f>IF(OR(B42="",C42="",实验设置!$B$13=""),"",实验设置!$B$16*(SIN(RADIANS(C42))-实验设置!$B$13*COS(RADIANS(C42))))</f>
        <v>1.90552074559835</v>
      </c>
      <c r="F42" s="8" t="s">
        <v>72</v>
      </c>
      <c r="G42" s="8" t="s">
        <v>95</v>
      </c>
    </row>
    <row r="43" ht="24" customHeight="1" spans="1:7">
      <c r="A43" s="4" t="s">
        <v>138</v>
      </c>
      <c r="B43" s="5" t="s">
        <v>139</v>
      </c>
      <c r="C43" s="6">
        <v>35</v>
      </c>
      <c r="D43" s="7">
        <f>IF(OR(B43="",C43="",实验设置!$B$11="",实验设置!$B$13=""),"",实验设置!$B$13*实验设置!$B$11*实验设置!$B$16*COS(RADIANS(C43)))</f>
        <v>0.326111960390578</v>
      </c>
      <c r="E43" s="7">
        <f>IF(OR(B43="",C43="",实验设置!$B$13=""),"",实验设置!$B$16*(SIN(RADIANS(C43))-实验设置!$B$13*COS(RADIANS(C43))))</f>
        <v>1.90552074559835</v>
      </c>
      <c r="F43" s="8" t="s">
        <v>72</v>
      </c>
      <c r="G43" s="8" t="s">
        <v>95</v>
      </c>
    </row>
    <row r="44" ht="24" customHeight="1" spans="1:7">
      <c r="A44" s="4" t="s">
        <v>140</v>
      </c>
      <c r="B44" s="5" t="s">
        <v>141</v>
      </c>
      <c r="C44" s="6">
        <v>35</v>
      </c>
      <c r="D44" s="7">
        <f>IF(OR(B44="",C44="",实验设置!$B$11="",实验设置!$B$13=""),"",实验设置!$B$13*实验设置!$B$11*实验设置!$B$16*COS(RADIANS(C44)))</f>
        <v>0.326111960390578</v>
      </c>
      <c r="E44" s="7">
        <f>IF(OR(B44="",C44="",实验设置!$B$13=""),"",实验设置!$B$16*(SIN(RADIANS(C44))-实验设置!$B$13*COS(RADIANS(C44))))</f>
        <v>1.90552074559835</v>
      </c>
      <c r="F44" s="8" t="s">
        <v>72</v>
      </c>
      <c r="G44" s="8" t="s">
        <v>95</v>
      </c>
    </row>
    <row r="45" ht="24" customHeight="1" spans="1:7">
      <c r="A45" s="4" t="s">
        <v>142</v>
      </c>
      <c r="B45" s="5" t="s">
        <v>143</v>
      </c>
      <c r="C45" s="6">
        <v>35</v>
      </c>
      <c r="D45" s="7">
        <f>IF(OR(B45="",C45="",实验设置!$B$11="",实验设置!$B$13=""),"",实验设置!$B$13*实验设置!$B$11*实验设置!$B$16*COS(RADIANS(C45)))</f>
        <v>0.326111960390578</v>
      </c>
      <c r="E45" s="7">
        <f>IF(OR(B45="",C45="",实验设置!$B$13=""),"",实验设置!$B$16*(SIN(RADIANS(C45))-实验设置!$B$13*COS(RADIANS(C45))))</f>
        <v>1.90552074559835</v>
      </c>
      <c r="F45" s="8" t="s">
        <v>72</v>
      </c>
      <c r="G45" s="8" t="s">
        <v>95</v>
      </c>
    </row>
    <row r="46" ht="24" customHeight="1" spans="1:7">
      <c r="A46" s="4" t="s">
        <v>144</v>
      </c>
      <c r="B46" s="5" t="s">
        <v>145</v>
      </c>
      <c r="C46" s="6">
        <v>38</v>
      </c>
      <c r="D46" s="7">
        <f>IF(OR(B46="",C46="",实验设置!$B$11="",实验设置!$B$13=""),"",实验设置!$B$13*实验设置!$B$11*实验设置!$B$16*COS(RADIANS(C46)))</f>
        <v>0.313714326246476</v>
      </c>
      <c r="E46" s="7">
        <f>IF(OR(B46="",C46="",实验设置!$B$13=""),"",实验设置!$B$16*(SIN(RADIANS(C46))-实验设置!$B$13*COS(RADIANS(C46))))</f>
        <v>2.45963036787741</v>
      </c>
      <c r="F46" s="5"/>
      <c r="G46" s="5"/>
    </row>
    <row r="47" ht="24" customHeight="1" spans="1:7">
      <c r="A47" s="4" t="s">
        <v>146</v>
      </c>
      <c r="B47" s="5" t="s">
        <v>147</v>
      </c>
      <c r="C47" s="6">
        <v>38</v>
      </c>
      <c r="D47" s="7">
        <f>IF(OR(B47="",C47="",实验设置!$B$11="",实验设置!$B$13=""),"",实验设置!$B$13*实验设置!$B$11*实验设置!$B$16*COS(RADIANS(C47)))</f>
        <v>0.313714326246476</v>
      </c>
      <c r="E47" s="7">
        <f>IF(OR(B47="",C47="",实验设置!$B$13=""),"",实验设置!$B$16*(SIN(RADIANS(C47))-实验设置!$B$13*COS(RADIANS(C47))))</f>
        <v>2.45963036787741</v>
      </c>
      <c r="F47" s="5"/>
      <c r="G47" s="5"/>
    </row>
    <row r="48" ht="24" customHeight="1" spans="1:7">
      <c r="A48" s="4" t="s">
        <v>148</v>
      </c>
      <c r="B48" s="5" t="s">
        <v>149</v>
      </c>
      <c r="C48" s="6">
        <v>38</v>
      </c>
      <c r="D48" s="7">
        <f>IF(OR(B48="",C48="",实验设置!$B$11="",实验设置!$B$13=""),"",实验设置!$B$13*实验设置!$B$11*实验设置!$B$16*COS(RADIANS(C48)))</f>
        <v>0.313714326246476</v>
      </c>
      <c r="E48" s="7">
        <f>IF(OR(B48="",C48="",实验设置!$B$13=""),"",实验设置!$B$16*(SIN(RADIANS(C48))-实验设置!$B$13*COS(RADIANS(C48))))</f>
        <v>2.45963036787741</v>
      </c>
      <c r="F48" s="5"/>
      <c r="G48" s="5"/>
    </row>
    <row r="49" ht="24" customHeight="1" spans="1:7">
      <c r="A49" s="4" t="s">
        <v>150</v>
      </c>
      <c r="B49" s="5" t="s">
        <v>151</v>
      </c>
      <c r="C49" s="6">
        <v>38</v>
      </c>
      <c r="D49" s="7">
        <f>IF(OR(B49="",C49="",实验设置!$B$11="",实验设置!$B$13=""),"",实验设置!$B$13*实验设置!$B$11*实验设置!$B$16*COS(RADIANS(C49)))</f>
        <v>0.313714326246476</v>
      </c>
      <c r="E49" s="7">
        <f>IF(OR(B49="",C49="",实验设置!$B$13=""),"",实验设置!$B$16*(SIN(RADIANS(C49))-实验设置!$B$13*COS(RADIANS(C49))))</f>
        <v>2.45963036787741</v>
      </c>
      <c r="F49" s="5"/>
      <c r="G49" s="5"/>
    </row>
    <row r="50" ht="24" customHeight="1" spans="1:7">
      <c r="A50" s="4" t="s">
        <v>152</v>
      </c>
      <c r="B50" s="5" t="s">
        <v>153</v>
      </c>
      <c r="C50" s="6">
        <v>38</v>
      </c>
      <c r="D50" s="7">
        <f>IF(OR(B50="",C50="",实验设置!$B$11="",实验设置!$B$13=""),"",实验设置!$B$13*实验设置!$B$11*实验设置!$B$16*COS(RADIANS(C50)))</f>
        <v>0.313714326246476</v>
      </c>
      <c r="E50" s="7">
        <f>IF(OR(B50="",C50="",实验设置!$B$13=""),"",实验设置!$B$16*(SIN(RADIANS(C50))-实验设置!$B$13*COS(RADIANS(C50))))</f>
        <v>2.45963036787741</v>
      </c>
      <c r="F50" s="5"/>
      <c r="G50" s="5"/>
    </row>
    <row r="51" ht="24" customHeight="1" spans="1:7">
      <c r="A51" s="4" t="s">
        <v>154</v>
      </c>
      <c r="B51" s="5" t="s">
        <v>155</v>
      </c>
      <c r="C51" s="6">
        <v>38</v>
      </c>
      <c r="D51" s="7">
        <f>IF(OR(B51="",C51="",实验设置!$B$11="",实验设置!$B$13=""),"",实验设置!$B$13*实验设置!$B$11*实验设置!$B$16*COS(RADIANS(C51)))</f>
        <v>0.313714326246476</v>
      </c>
      <c r="E51" s="7">
        <f>IF(OR(B51="",C51="",实验设置!$B$13=""),"",实验设置!$B$16*(SIN(RADIANS(C51))-实验设置!$B$13*COS(RADIANS(C51))))</f>
        <v>2.45963036787741</v>
      </c>
      <c r="F51" s="8" t="s">
        <v>72</v>
      </c>
      <c r="G51" s="8" t="s">
        <v>73</v>
      </c>
    </row>
    <row r="52" ht="24" customHeight="1" spans="1:7">
      <c r="A52" s="4" t="s">
        <v>156</v>
      </c>
      <c r="B52" s="5" t="s">
        <v>157</v>
      </c>
      <c r="C52" s="6">
        <v>38</v>
      </c>
      <c r="D52" s="7">
        <f>IF(OR(B52="",C52="",实验设置!$B$11="",实验设置!$B$13=""),"",实验设置!$B$13*实验设置!$B$11*实验设置!$B$16*COS(RADIANS(C52)))</f>
        <v>0.313714326246476</v>
      </c>
      <c r="E52" s="7">
        <f>IF(OR(B52="",C52="",实验设置!$B$13=""),"",实验设置!$B$16*(SIN(RADIANS(C52))-实验设置!$B$13*COS(RADIANS(C52))))</f>
        <v>2.45963036787741</v>
      </c>
      <c r="F52" s="8" t="s">
        <v>72</v>
      </c>
      <c r="G52" s="8" t="s">
        <v>73</v>
      </c>
    </row>
    <row r="53" ht="24" customHeight="1" spans="1:7">
      <c r="A53" s="4" t="s">
        <v>158</v>
      </c>
      <c r="B53" s="5" t="s">
        <v>159</v>
      </c>
      <c r="C53" s="6">
        <v>38</v>
      </c>
      <c r="D53" s="7">
        <f>IF(OR(B53="",C53="",实验设置!$B$11="",实验设置!$B$13=""),"",实验设置!$B$13*实验设置!$B$11*实验设置!$B$16*COS(RADIANS(C53)))</f>
        <v>0.313714326246476</v>
      </c>
      <c r="E53" s="7">
        <f>IF(OR(B53="",C53="",实验设置!$B$13=""),"",实验设置!$B$16*(SIN(RADIANS(C53))-实验设置!$B$13*COS(RADIANS(C53))))</f>
        <v>2.45963036787741</v>
      </c>
      <c r="F53" s="8" t="s">
        <v>72</v>
      </c>
      <c r="G53" s="8" t="s">
        <v>73</v>
      </c>
    </row>
    <row r="54" ht="24" customHeight="1" spans="1:7">
      <c r="A54" s="4" t="s">
        <v>160</v>
      </c>
      <c r="B54" s="5" t="s">
        <v>161</v>
      </c>
      <c r="C54" s="6">
        <v>38</v>
      </c>
      <c r="D54" s="7">
        <f>IF(OR(B54="",C54="",实验设置!$B$11="",实验设置!$B$13=""),"",实验设置!$B$13*实验设置!$B$11*实验设置!$B$16*COS(RADIANS(C54)))</f>
        <v>0.313714326246476</v>
      </c>
      <c r="E54" s="7">
        <f>IF(OR(B54="",C54="",实验设置!$B$13=""),"",实验设置!$B$16*(SIN(RADIANS(C54))-实验设置!$B$13*COS(RADIANS(C54))))</f>
        <v>2.45963036787741</v>
      </c>
      <c r="F54" s="8" t="s">
        <v>72</v>
      </c>
      <c r="G54" s="8" t="s">
        <v>73</v>
      </c>
    </row>
    <row r="55" ht="24" customHeight="1" spans="1:7">
      <c r="A55" s="4" t="s">
        <v>162</v>
      </c>
      <c r="B55" s="5" t="s">
        <v>163</v>
      </c>
      <c r="C55" s="6">
        <v>38</v>
      </c>
      <c r="D55" s="7">
        <f>IF(OR(B55="",C55="",实验设置!$B$11="",实验设置!$B$13=""),"",实验设置!$B$13*实验设置!$B$11*实验设置!$B$16*COS(RADIANS(C55)))</f>
        <v>0.313714326246476</v>
      </c>
      <c r="E55" s="7">
        <f>IF(OR(B55="",C55="",实验设置!$B$13=""),"",实验设置!$B$16*(SIN(RADIANS(C55))-实验设置!$B$13*COS(RADIANS(C55))))</f>
        <v>2.45963036787741</v>
      </c>
      <c r="F55" s="8" t="s">
        <v>72</v>
      </c>
      <c r="G55" s="8" t="s">
        <v>73</v>
      </c>
    </row>
    <row r="56" ht="24" customHeight="1" spans="1:7">
      <c r="A56" s="4" t="s">
        <v>164</v>
      </c>
      <c r="B56" s="5" t="s">
        <v>165</v>
      </c>
      <c r="C56" s="6">
        <v>38</v>
      </c>
      <c r="D56" s="7">
        <f>IF(OR(B56="",C56="",实验设置!$B$11="",实验设置!$B$13=""),"",实验设置!$B$13*实验设置!$B$11*实验设置!$B$16*COS(RADIANS(C56)))</f>
        <v>0.313714326246476</v>
      </c>
      <c r="E56" s="7">
        <f>IF(OR(B56="",C56="",实验设置!$B$13=""),"",实验设置!$B$16*(SIN(RADIANS(C56))-实验设置!$B$13*COS(RADIANS(C56))))</f>
        <v>2.45963036787741</v>
      </c>
      <c r="F56" s="8" t="s">
        <v>72</v>
      </c>
      <c r="G56" s="8" t="s">
        <v>84</v>
      </c>
    </row>
    <row r="57" ht="24" customHeight="1" spans="1:7">
      <c r="A57" s="4" t="s">
        <v>166</v>
      </c>
      <c r="B57" s="5" t="s">
        <v>167</v>
      </c>
      <c r="C57" s="6">
        <v>38</v>
      </c>
      <c r="D57" s="7">
        <f>IF(OR(B57="",C57="",实验设置!$B$11="",实验设置!$B$13=""),"",实验设置!$B$13*实验设置!$B$11*实验设置!$B$16*COS(RADIANS(C57)))</f>
        <v>0.313714326246476</v>
      </c>
      <c r="E57" s="7">
        <f>IF(OR(B57="",C57="",实验设置!$B$13=""),"",实验设置!$B$16*(SIN(RADIANS(C57))-实验设置!$B$13*COS(RADIANS(C57))))</f>
        <v>2.45963036787741</v>
      </c>
      <c r="F57" s="8" t="s">
        <v>72</v>
      </c>
      <c r="G57" s="8" t="s">
        <v>84</v>
      </c>
    </row>
    <row r="58" ht="24" customHeight="1" spans="1:7">
      <c r="A58" s="4" t="s">
        <v>168</v>
      </c>
      <c r="B58" s="5" t="s">
        <v>169</v>
      </c>
      <c r="C58" s="6">
        <v>38</v>
      </c>
      <c r="D58" s="7">
        <f>IF(OR(B58="",C58="",实验设置!$B$11="",实验设置!$B$13=""),"",实验设置!$B$13*实验设置!$B$11*实验设置!$B$16*COS(RADIANS(C58)))</f>
        <v>0.313714326246476</v>
      </c>
      <c r="E58" s="7">
        <f>IF(OR(B58="",C58="",实验设置!$B$13=""),"",实验设置!$B$16*(SIN(RADIANS(C58))-实验设置!$B$13*COS(RADIANS(C58))))</f>
        <v>2.45963036787741</v>
      </c>
      <c r="F58" s="8" t="s">
        <v>72</v>
      </c>
      <c r="G58" s="8" t="s">
        <v>84</v>
      </c>
    </row>
    <row r="59" ht="24" customHeight="1" spans="1:7">
      <c r="A59" s="4" t="s">
        <v>170</v>
      </c>
      <c r="B59" s="5" t="s">
        <v>171</v>
      </c>
      <c r="C59" s="6">
        <v>38</v>
      </c>
      <c r="D59" s="7">
        <f>IF(OR(B59="",C59="",实验设置!$B$11="",实验设置!$B$13=""),"",实验设置!$B$13*实验设置!$B$11*实验设置!$B$16*COS(RADIANS(C59)))</f>
        <v>0.313714326246476</v>
      </c>
      <c r="E59" s="7">
        <f>IF(OR(B59="",C59="",实验设置!$B$13=""),"",实验设置!$B$16*(SIN(RADIANS(C59))-实验设置!$B$13*COS(RADIANS(C59))))</f>
        <v>2.45963036787741</v>
      </c>
      <c r="F59" s="8" t="s">
        <v>72</v>
      </c>
      <c r="G59" s="8" t="s">
        <v>84</v>
      </c>
    </row>
    <row r="60" ht="24" customHeight="1" spans="1:7">
      <c r="A60" s="4" t="s">
        <v>172</v>
      </c>
      <c r="B60" s="5" t="s">
        <v>173</v>
      </c>
      <c r="C60" s="6">
        <v>38</v>
      </c>
      <c r="D60" s="7">
        <f>IF(OR(B60="",C60="",实验设置!$B$11="",实验设置!$B$13=""),"",实验设置!$B$13*实验设置!$B$11*实验设置!$B$16*COS(RADIANS(C60)))</f>
        <v>0.313714326246476</v>
      </c>
      <c r="E60" s="7">
        <f>IF(OR(B60="",C60="",实验设置!$B$13=""),"",实验设置!$B$16*(SIN(RADIANS(C60))-实验设置!$B$13*COS(RADIANS(C60))))</f>
        <v>2.45963036787741</v>
      </c>
      <c r="F60" s="8" t="s">
        <v>72</v>
      </c>
      <c r="G60" s="8" t="s">
        <v>84</v>
      </c>
    </row>
    <row r="61" ht="24" customHeight="1" spans="1:7">
      <c r="A61" s="4" t="s">
        <v>174</v>
      </c>
      <c r="B61" s="5" t="s">
        <v>175</v>
      </c>
      <c r="C61" s="6">
        <v>38</v>
      </c>
      <c r="D61" s="7">
        <f>IF(OR(B61="",C61="",实验设置!$B$11="",实验设置!$B$13=""),"",实验设置!$B$13*实验设置!$B$11*实验设置!$B$16*COS(RADIANS(C61)))</f>
        <v>0.313714326246476</v>
      </c>
      <c r="E61" s="7">
        <f>IF(OR(B61="",C61="",实验设置!$B$13=""),"",实验设置!$B$16*(SIN(RADIANS(C61))-实验设置!$B$13*COS(RADIANS(C61))))</f>
        <v>2.45963036787741</v>
      </c>
      <c r="F61" s="8" t="s">
        <v>72</v>
      </c>
      <c r="G61" s="8" t="s">
        <v>95</v>
      </c>
    </row>
    <row r="62" ht="24" customHeight="1" spans="1:7">
      <c r="A62" s="4" t="s">
        <v>176</v>
      </c>
      <c r="B62" s="5" t="s">
        <v>177</v>
      </c>
      <c r="C62" s="6">
        <v>38</v>
      </c>
      <c r="D62" s="7">
        <f>IF(OR(B62="",C62="",实验设置!$B$11="",实验设置!$B$13=""),"",实验设置!$B$13*实验设置!$B$11*实验设置!$B$16*COS(RADIANS(C62)))</f>
        <v>0.313714326246476</v>
      </c>
      <c r="E62" s="7">
        <f>IF(OR(B62="",C62="",实验设置!$B$13=""),"",实验设置!$B$16*(SIN(RADIANS(C62))-实验设置!$B$13*COS(RADIANS(C62))))</f>
        <v>2.45963036787741</v>
      </c>
      <c r="F62" s="8" t="s">
        <v>72</v>
      </c>
      <c r="G62" s="8" t="s">
        <v>95</v>
      </c>
    </row>
    <row r="63" ht="24" customHeight="1" spans="1:7">
      <c r="A63" s="4" t="s">
        <v>178</v>
      </c>
      <c r="B63" s="5" t="s">
        <v>179</v>
      </c>
      <c r="C63" s="6">
        <v>38</v>
      </c>
      <c r="D63" s="7">
        <f>IF(OR(B63="",C63="",实验设置!$B$11="",实验设置!$B$13=""),"",实验设置!$B$13*实验设置!$B$11*实验设置!$B$16*COS(RADIANS(C63)))</f>
        <v>0.313714326246476</v>
      </c>
      <c r="E63" s="7">
        <f>IF(OR(B63="",C63="",实验设置!$B$13=""),"",实验设置!$B$16*(SIN(RADIANS(C63))-实验设置!$B$13*COS(RADIANS(C63))))</f>
        <v>2.45963036787741</v>
      </c>
      <c r="F63" s="8" t="s">
        <v>72</v>
      </c>
      <c r="G63" s="8" t="s">
        <v>95</v>
      </c>
    </row>
    <row r="64" ht="24" customHeight="1" spans="1:7">
      <c r="A64" s="4" t="s">
        <v>180</v>
      </c>
      <c r="B64" s="5" t="s">
        <v>181</v>
      </c>
      <c r="C64" s="6">
        <v>38</v>
      </c>
      <c r="D64" s="7">
        <f>IF(OR(B64="",C64="",实验设置!$B$11="",实验设置!$B$13=""),"",实验设置!$B$13*实验设置!$B$11*实验设置!$B$16*COS(RADIANS(C64)))</f>
        <v>0.313714326246476</v>
      </c>
      <c r="E64" s="7">
        <f>IF(OR(B64="",C64="",实验设置!$B$13=""),"",实验设置!$B$16*(SIN(RADIANS(C64))-实验设置!$B$13*COS(RADIANS(C64))))</f>
        <v>2.45963036787741</v>
      </c>
      <c r="F64" s="8" t="s">
        <v>72</v>
      </c>
      <c r="G64" s="8" t="s">
        <v>95</v>
      </c>
    </row>
    <row r="65" ht="24" customHeight="1" spans="1:7">
      <c r="A65" s="4" t="s">
        <v>182</v>
      </c>
      <c r="B65" s="5" t="s">
        <v>183</v>
      </c>
      <c r="C65" s="6">
        <v>38</v>
      </c>
      <c r="D65" s="7">
        <f>IF(OR(B65="",C65="",实验设置!$B$11="",实验设置!$B$13=""),"",实验设置!$B$13*实验设置!$B$11*实验设置!$B$16*COS(RADIANS(C65)))</f>
        <v>0.313714326246476</v>
      </c>
      <c r="E65" s="7">
        <f>IF(OR(B65="",C65="",实验设置!$B$13=""),"",实验设置!$B$16*(SIN(RADIANS(C65))-实验设置!$B$13*COS(RADIANS(C65))))</f>
        <v>2.45963036787741</v>
      </c>
      <c r="F65" s="8" t="s">
        <v>72</v>
      </c>
      <c r="G65" s="8" t="s">
        <v>95</v>
      </c>
    </row>
    <row r="66" spans="1:7">
      <c r="A66" s="4" t="s">
        <v>184</v>
      </c>
      <c r="B66" s="5" t="s">
        <v>185</v>
      </c>
      <c r="C66" s="6">
        <v>41</v>
      </c>
      <c r="D66" s="7">
        <f>IF(OR(B66="",C66="",实验设置!$B$11="",实验设置!$B$13=""),"",实验设置!$B$13*实验设置!$B$11*实验设置!$B$16*COS(RADIANS(C66)))</f>
        <v>0.300456822940149</v>
      </c>
      <c r="E66" s="7">
        <f>IF(OR(B66="",C66="",实验设置!$B$13=""),"",实验设置!$B$16*(SIN(RADIANS(C66))-实验设置!$B$13*COS(RADIANS(C66))))</f>
        <v>3.00699831428492</v>
      </c>
      <c r="F66" s="5"/>
      <c r="G66" s="5"/>
    </row>
    <row r="67" spans="1:7">
      <c r="A67" s="4" t="s">
        <v>186</v>
      </c>
      <c r="B67" s="5" t="s">
        <v>187</v>
      </c>
      <c r="C67" s="6">
        <v>41</v>
      </c>
      <c r="D67" s="7">
        <f>IF(OR(B67="",C67="",实验设置!$B$11="",实验设置!$B$13=""),"",实验设置!$B$13*实验设置!$B$11*实验设置!$B$16*COS(RADIANS(C67)))</f>
        <v>0.300456822940149</v>
      </c>
      <c r="E67" s="7">
        <f>IF(OR(B67="",C67="",实验设置!$B$13=""),"",实验设置!$B$16*(SIN(RADIANS(C67))-实验设置!$B$13*COS(RADIANS(C67))))</f>
        <v>3.00699831428492</v>
      </c>
      <c r="F67" s="5"/>
      <c r="G67" s="5"/>
    </row>
    <row r="68" spans="1:7">
      <c r="A68" s="4" t="s">
        <v>188</v>
      </c>
      <c r="B68" s="5" t="s">
        <v>189</v>
      </c>
      <c r="C68" s="6">
        <v>41</v>
      </c>
      <c r="D68" s="7">
        <f>IF(OR(B68="",C68="",实验设置!$B$11="",实验设置!$B$13=""),"",实验设置!$B$13*实验设置!$B$11*实验设置!$B$16*COS(RADIANS(C68)))</f>
        <v>0.300456822940149</v>
      </c>
      <c r="E68" s="7">
        <f>IF(OR(B68="",C68="",实验设置!$B$13=""),"",实验设置!$B$16*(SIN(RADIANS(C68))-实验设置!$B$13*COS(RADIANS(C68))))</f>
        <v>3.00699831428492</v>
      </c>
      <c r="F68" s="5"/>
      <c r="G68" s="5"/>
    </row>
    <row r="69" spans="1:7">
      <c r="A69" s="4" t="s">
        <v>190</v>
      </c>
      <c r="B69" s="5" t="s">
        <v>191</v>
      </c>
      <c r="C69" s="6">
        <v>41</v>
      </c>
      <c r="D69" s="7">
        <f>IF(OR(B69="",C69="",实验设置!$B$11="",实验设置!$B$13=""),"",实验设置!$B$13*实验设置!$B$11*实验设置!$B$16*COS(RADIANS(C69)))</f>
        <v>0.300456822940149</v>
      </c>
      <c r="E69" s="7">
        <f>IF(OR(B69="",C69="",实验设置!$B$13=""),"",实验设置!$B$16*(SIN(RADIANS(C69))-实验设置!$B$13*COS(RADIANS(C69))))</f>
        <v>3.00699831428492</v>
      </c>
      <c r="F69" s="5"/>
      <c r="G69" s="5"/>
    </row>
    <row r="70" spans="1:7">
      <c r="A70" s="4" t="s">
        <v>192</v>
      </c>
      <c r="B70" s="5" t="s">
        <v>193</v>
      </c>
      <c r="C70" s="6">
        <v>41</v>
      </c>
      <c r="D70" s="7">
        <f>IF(OR(B70="",C70="",实验设置!$B$11="",实验设置!$B$13=""),"",实验设置!$B$13*实验设置!$B$11*实验设置!$B$16*COS(RADIANS(C70)))</f>
        <v>0.300456822940149</v>
      </c>
      <c r="E70" s="7">
        <f>IF(OR(B70="",C70="",实验设置!$B$13=""),"",实验设置!$B$16*(SIN(RADIANS(C70))-实验设置!$B$13*COS(RADIANS(C70))))</f>
        <v>3.00699831428492</v>
      </c>
      <c r="F70" s="5"/>
      <c r="G70" s="5"/>
    </row>
    <row r="71" spans="1:7">
      <c r="A71" s="4" t="s">
        <v>194</v>
      </c>
      <c r="B71" s="5" t="s">
        <v>195</v>
      </c>
      <c r="C71" s="6">
        <v>41</v>
      </c>
      <c r="D71" s="7">
        <f>IF(OR(B71="",C71="",实验设置!$B$11="",实验设置!$B$13=""),"",实验设置!$B$13*实验设置!$B$11*实验设置!$B$16*COS(RADIANS(C71)))</f>
        <v>0.300456822940149</v>
      </c>
      <c r="E71" s="7">
        <f>IF(OR(B71="",C71="",实验设置!$B$13=""),"",实验设置!$B$16*(SIN(RADIANS(C71))-实验设置!$B$13*COS(RADIANS(C71))))</f>
        <v>3.00699831428492</v>
      </c>
      <c r="F71" s="8" t="s">
        <v>72</v>
      </c>
      <c r="G71" s="8" t="s">
        <v>73</v>
      </c>
    </row>
    <row r="72" spans="1:7">
      <c r="A72" s="4" t="s">
        <v>196</v>
      </c>
      <c r="B72" s="5" t="s">
        <v>197</v>
      </c>
      <c r="C72" s="6">
        <v>41</v>
      </c>
      <c r="D72" s="7">
        <f>IF(OR(B72="",C72="",实验设置!$B$11="",实验设置!$B$13=""),"",实验设置!$B$13*实验设置!$B$11*实验设置!$B$16*COS(RADIANS(C72)))</f>
        <v>0.300456822940149</v>
      </c>
      <c r="E72" s="7">
        <f>IF(OR(B72="",C72="",实验设置!$B$13=""),"",实验设置!$B$16*(SIN(RADIANS(C72))-实验设置!$B$13*COS(RADIANS(C72))))</f>
        <v>3.00699831428492</v>
      </c>
      <c r="F72" s="8" t="s">
        <v>72</v>
      </c>
      <c r="G72" s="8" t="s">
        <v>73</v>
      </c>
    </row>
    <row r="73" spans="1:7">
      <c r="A73" s="4" t="s">
        <v>198</v>
      </c>
      <c r="B73" s="5" t="s">
        <v>199</v>
      </c>
      <c r="C73" s="6">
        <v>41</v>
      </c>
      <c r="D73" s="7">
        <f>IF(OR(B73="",C73="",实验设置!$B$11="",实验设置!$B$13=""),"",实验设置!$B$13*实验设置!$B$11*实验设置!$B$16*COS(RADIANS(C73)))</f>
        <v>0.300456822940149</v>
      </c>
      <c r="E73" s="7">
        <f>IF(OR(B73="",C73="",实验设置!$B$13=""),"",实验设置!$B$16*(SIN(RADIANS(C73))-实验设置!$B$13*COS(RADIANS(C73))))</f>
        <v>3.00699831428492</v>
      </c>
      <c r="F73" s="8" t="s">
        <v>72</v>
      </c>
      <c r="G73" s="8" t="s">
        <v>73</v>
      </c>
    </row>
    <row r="74" spans="1:7">
      <c r="A74" s="4" t="s">
        <v>200</v>
      </c>
      <c r="B74" s="5" t="s">
        <v>201</v>
      </c>
      <c r="C74" s="6">
        <v>41</v>
      </c>
      <c r="D74" s="7">
        <f>IF(OR(B74="",C74="",实验设置!$B$11="",实验设置!$B$13=""),"",实验设置!$B$13*实验设置!$B$11*实验设置!$B$16*COS(RADIANS(C74)))</f>
        <v>0.300456822940149</v>
      </c>
      <c r="E74" s="7">
        <f>IF(OR(B74="",C74="",实验设置!$B$13=""),"",实验设置!$B$16*(SIN(RADIANS(C74))-实验设置!$B$13*COS(RADIANS(C74))))</f>
        <v>3.00699831428492</v>
      </c>
      <c r="F74" s="8" t="s">
        <v>72</v>
      </c>
      <c r="G74" s="8" t="s">
        <v>73</v>
      </c>
    </row>
    <row r="75" spans="1:7">
      <c r="A75" s="4" t="s">
        <v>202</v>
      </c>
      <c r="B75" s="5" t="s">
        <v>203</v>
      </c>
      <c r="C75" s="6">
        <v>41</v>
      </c>
      <c r="D75" s="7">
        <f>IF(OR(B75="",C75="",实验设置!$B$11="",实验设置!$B$13=""),"",实验设置!$B$13*实验设置!$B$11*实验设置!$B$16*COS(RADIANS(C75)))</f>
        <v>0.300456822940149</v>
      </c>
      <c r="E75" s="7">
        <f>IF(OR(B75="",C75="",实验设置!$B$13=""),"",实验设置!$B$16*(SIN(RADIANS(C75))-实验设置!$B$13*COS(RADIANS(C75))))</f>
        <v>3.00699831428492</v>
      </c>
      <c r="F75" s="8" t="s">
        <v>72</v>
      </c>
      <c r="G75" s="8" t="s">
        <v>73</v>
      </c>
    </row>
    <row r="76" spans="1:7">
      <c r="A76" s="4" t="s">
        <v>204</v>
      </c>
      <c r="B76" s="5" t="s">
        <v>205</v>
      </c>
      <c r="C76" s="6">
        <v>41</v>
      </c>
      <c r="D76" s="7">
        <f>IF(OR(B76="",C76="",实验设置!$B$11="",实验设置!$B$13=""),"",实验设置!$B$13*实验设置!$B$11*实验设置!$B$16*COS(RADIANS(C76)))</f>
        <v>0.300456822940149</v>
      </c>
      <c r="E76" s="7">
        <f>IF(OR(B76="",C76="",实验设置!$B$13=""),"",实验设置!$B$16*(SIN(RADIANS(C76))-实验设置!$B$13*COS(RADIANS(C76))))</f>
        <v>3.00699831428492</v>
      </c>
      <c r="F76" s="8" t="s">
        <v>72</v>
      </c>
      <c r="G76" s="8" t="s">
        <v>84</v>
      </c>
    </row>
    <row r="77" spans="1:7">
      <c r="A77" s="4" t="s">
        <v>206</v>
      </c>
      <c r="B77" s="5" t="s">
        <v>207</v>
      </c>
      <c r="C77" s="6">
        <v>41</v>
      </c>
      <c r="D77" s="7">
        <f>IF(OR(B77="",C77="",实验设置!$B$11="",实验设置!$B$13=""),"",实验设置!$B$13*实验设置!$B$11*实验设置!$B$16*COS(RADIANS(C77)))</f>
        <v>0.300456822940149</v>
      </c>
      <c r="E77" s="7">
        <f>IF(OR(B77="",C77="",实验设置!$B$13=""),"",实验设置!$B$16*(SIN(RADIANS(C77))-实验设置!$B$13*COS(RADIANS(C77))))</f>
        <v>3.00699831428492</v>
      </c>
      <c r="F77" s="8" t="s">
        <v>72</v>
      </c>
      <c r="G77" s="8" t="s">
        <v>84</v>
      </c>
    </row>
    <row r="78" spans="1:7">
      <c r="A78" s="4" t="s">
        <v>208</v>
      </c>
      <c r="B78" s="5" t="s">
        <v>209</v>
      </c>
      <c r="C78" s="6">
        <v>41</v>
      </c>
      <c r="D78" s="7">
        <f>IF(OR(B78="",C78="",实验设置!$B$11="",实验设置!$B$13=""),"",实验设置!$B$13*实验设置!$B$11*实验设置!$B$16*COS(RADIANS(C78)))</f>
        <v>0.300456822940149</v>
      </c>
      <c r="E78" s="7">
        <f>IF(OR(B78="",C78="",实验设置!$B$13=""),"",实验设置!$B$16*(SIN(RADIANS(C78))-实验设置!$B$13*COS(RADIANS(C78))))</f>
        <v>3.00699831428492</v>
      </c>
      <c r="F78" s="8" t="s">
        <v>72</v>
      </c>
      <c r="G78" s="8" t="s">
        <v>84</v>
      </c>
    </row>
    <row r="79" spans="1:7">
      <c r="A79" s="4" t="s">
        <v>210</v>
      </c>
      <c r="B79" s="5" t="s">
        <v>211</v>
      </c>
      <c r="C79" s="6">
        <v>41</v>
      </c>
      <c r="D79" s="7">
        <f>IF(OR(B79="",C79="",实验设置!$B$11="",实验设置!$B$13=""),"",实验设置!$B$13*实验设置!$B$11*实验设置!$B$16*COS(RADIANS(C79)))</f>
        <v>0.300456822940149</v>
      </c>
      <c r="E79" s="7">
        <f>IF(OR(B79="",C79="",实验设置!$B$13=""),"",实验设置!$B$16*(SIN(RADIANS(C79))-实验设置!$B$13*COS(RADIANS(C79))))</f>
        <v>3.00699831428492</v>
      </c>
      <c r="F79" s="8" t="s">
        <v>72</v>
      </c>
      <c r="G79" s="8" t="s">
        <v>84</v>
      </c>
    </row>
    <row r="80" spans="1:7">
      <c r="A80" s="4" t="s">
        <v>212</v>
      </c>
      <c r="B80" s="5" t="s">
        <v>213</v>
      </c>
      <c r="C80" s="6">
        <v>41</v>
      </c>
      <c r="D80" s="7">
        <f>IF(OR(B80="",C80="",实验设置!$B$11="",实验设置!$B$13=""),"",实验设置!$B$13*实验设置!$B$11*实验设置!$B$16*COS(RADIANS(C80)))</f>
        <v>0.300456822940149</v>
      </c>
      <c r="E80" s="7">
        <f>IF(OR(B80="",C80="",实验设置!$B$13=""),"",实验设置!$B$16*(SIN(RADIANS(C80))-实验设置!$B$13*COS(RADIANS(C80))))</f>
        <v>3.00699831428492</v>
      </c>
      <c r="F80" s="8" t="s">
        <v>72</v>
      </c>
      <c r="G80" s="8" t="s">
        <v>84</v>
      </c>
    </row>
    <row r="81" spans="1:7">
      <c r="A81" s="4" t="s">
        <v>214</v>
      </c>
      <c r="B81" s="5" t="s">
        <v>215</v>
      </c>
      <c r="C81" s="6">
        <v>41</v>
      </c>
      <c r="D81" s="7">
        <f>IF(OR(B81="",C81="",实验设置!$B$11="",实验设置!$B$13=""),"",实验设置!$B$13*实验设置!$B$11*实验设置!$B$16*COS(RADIANS(C81)))</f>
        <v>0.300456822940149</v>
      </c>
      <c r="E81" s="7">
        <f>IF(OR(B81="",C81="",实验设置!$B$13=""),"",实验设置!$B$16*(SIN(RADIANS(C81))-实验设置!$B$13*COS(RADIANS(C81))))</f>
        <v>3.00699831428492</v>
      </c>
      <c r="F81" s="8" t="s">
        <v>72</v>
      </c>
      <c r="G81" s="8" t="s">
        <v>95</v>
      </c>
    </row>
    <row r="82" spans="1:7">
      <c r="A82" s="4" t="s">
        <v>216</v>
      </c>
      <c r="B82" s="5" t="s">
        <v>217</v>
      </c>
      <c r="C82" s="6">
        <v>41</v>
      </c>
      <c r="D82" s="7">
        <f>IF(OR(B82="",C82="",实验设置!$B$11="",实验设置!$B$13=""),"",实验设置!$B$13*实验设置!$B$11*实验设置!$B$16*COS(RADIANS(C82)))</f>
        <v>0.300456822940149</v>
      </c>
      <c r="E82" s="7">
        <f>IF(OR(B82="",C82="",实验设置!$B$13=""),"",实验设置!$B$16*(SIN(RADIANS(C82))-实验设置!$B$13*COS(RADIANS(C82))))</f>
        <v>3.00699831428492</v>
      </c>
      <c r="F82" s="8" t="s">
        <v>72</v>
      </c>
      <c r="G82" s="8" t="s">
        <v>95</v>
      </c>
    </row>
    <row r="83" spans="1:7">
      <c r="A83" s="4" t="s">
        <v>218</v>
      </c>
      <c r="B83" s="5" t="s">
        <v>219</v>
      </c>
      <c r="C83" s="6">
        <v>41</v>
      </c>
      <c r="D83" s="7">
        <f>IF(OR(B83="",C83="",实验设置!$B$11="",实验设置!$B$13=""),"",实验设置!$B$13*实验设置!$B$11*实验设置!$B$16*COS(RADIANS(C83)))</f>
        <v>0.300456822940149</v>
      </c>
      <c r="E83" s="7">
        <f>IF(OR(B83="",C83="",实验设置!$B$13=""),"",实验设置!$B$16*(SIN(RADIANS(C83))-实验设置!$B$13*COS(RADIANS(C83))))</f>
        <v>3.00699831428492</v>
      </c>
      <c r="F83" s="8" t="s">
        <v>72</v>
      </c>
      <c r="G83" s="8" t="s">
        <v>95</v>
      </c>
    </row>
    <row r="84" spans="1:7">
      <c r="A84" s="4" t="s">
        <v>220</v>
      </c>
      <c r="B84" s="5" t="s">
        <v>221</v>
      </c>
      <c r="C84" s="6">
        <v>41</v>
      </c>
      <c r="D84" s="7">
        <f>IF(OR(B84="",C84="",实验设置!$B$11="",实验设置!$B$13=""),"",实验设置!$B$13*实验设置!$B$11*实验设置!$B$16*COS(RADIANS(C84)))</f>
        <v>0.300456822940149</v>
      </c>
      <c r="E84" s="7">
        <f>IF(OR(B84="",C84="",实验设置!$B$13=""),"",实验设置!$B$16*(SIN(RADIANS(C84))-实验设置!$B$13*COS(RADIANS(C84))))</f>
        <v>3.00699831428492</v>
      </c>
      <c r="F84" s="8" t="s">
        <v>72</v>
      </c>
      <c r="G84" s="8" t="s">
        <v>95</v>
      </c>
    </row>
    <row r="85" spans="1:7">
      <c r="A85" s="4" t="s">
        <v>222</v>
      </c>
      <c r="B85" s="5" t="s">
        <v>223</v>
      </c>
      <c r="C85" s="6">
        <v>41</v>
      </c>
      <c r="D85" s="7">
        <f>IF(OR(B85="",C85="",实验设置!$B$11="",实验设置!$B$13=""),"",实验设置!$B$13*实验设置!$B$11*实验设置!$B$16*COS(RADIANS(C85)))</f>
        <v>0.300456822940149</v>
      </c>
      <c r="E85" s="7">
        <f>IF(OR(B85="",C85="",实验设置!$B$13=""),"",实验设置!$B$16*(SIN(RADIANS(C85))-实验设置!$B$13*COS(RADIANS(C85))))</f>
        <v>3.00699831428492</v>
      </c>
      <c r="F85" s="8" t="s">
        <v>72</v>
      </c>
      <c r="G85" s="8" t="s">
        <v>95</v>
      </c>
    </row>
    <row r="86" spans="1:7">
      <c r="A86" s="4" t="s">
        <v>224</v>
      </c>
      <c r="B86" s="5" t="s">
        <v>225</v>
      </c>
      <c r="C86" s="6">
        <v>44</v>
      </c>
      <c r="D86" s="7">
        <f>IF(OR(B86="",C86="",实验设置!$B$11="",实验设置!$B$13=""),"",实验设置!$B$13*实验设置!$B$11*实验设置!$B$16*COS(RADIANS(C86)))</f>
        <v>0.28637578836664</v>
      </c>
      <c r="E86" s="7">
        <f>IF(OR(B86="",C86="",实验设置!$B$13=""),"",实验设置!$B$16*(SIN(RADIANS(C86))-实验设置!$B$13*COS(RADIANS(C86))))</f>
        <v>3.54612428732688</v>
      </c>
      <c r="F86" s="5"/>
      <c r="G86" s="5"/>
    </row>
    <row r="87" spans="1:7">
      <c r="A87" s="4" t="s">
        <v>226</v>
      </c>
      <c r="B87" s="5" t="s">
        <v>227</v>
      </c>
      <c r="C87" s="6">
        <v>44</v>
      </c>
      <c r="D87" s="7">
        <f>IF(OR(B87="",C87="",实验设置!$B$11="",实验设置!$B$13=""),"",实验设置!$B$13*实验设置!$B$11*实验设置!$B$16*COS(RADIANS(C87)))</f>
        <v>0.28637578836664</v>
      </c>
      <c r="E87" s="7">
        <f>IF(OR(B87="",C87="",实验设置!$B$13=""),"",实验设置!$B$16*(SIN(RADIANS(C87))-实验设置!$B$13*COS(RADIANS(C87))))</f>
        <v>3.54612428732688</v>
      </c>
      <c r="F87" s="5"/>
      <c r="G87" s="5"/>
    </row>
    <row r="88" spans="1:7">
      <c r="A88" s="4" t="s">
        <v>228</v>
      </c>
      <c r="B88" s="5" t="s">
        <v>229</v>
      </c>
      <c r="C88" s="6">
        <v>44</v>
      </c>
      <c r="D88" s="7">
        <f>IF(OR(B88="",C88="",实验设置!$B$11="",实验设置!$B$13=""),"",实验设置!$B$13*实验设置!$B$11*实验设置!$B$16*COS(RADIANS(C88)))</f>
        <v>0.28637578836664</v>
      </c>
      <c r="E88" s="7">
        <f>IF(OR(B88="",C88="",实验设置!$B$13=""),"",实验设置!$B$16*(SIN(RADIANS(C88))-实验设置!$B$13*COS(RADIANS(C88))))</f>
        <v>3.54612428732688</v>
      </c>
      <c r="F88" s="5"/>
      <c r="G88" s="5"/>
    </row>
    <row r="89" spans="1:7">
      <c r="A89" s="4" t="s">
        <v>230</v>
      </c>
      <c r="B89" s="5" t="s">
        <v>231</v>
      </c>
      <c r="C89" s="6">
        <v>44</v>
      </c>
      <c r="D89" s="7">
        <f>IF(OR(B89="",C89="",实验设置!$B$11="",实验设置!$B$13=""),"",实验设置!$B$13*实验设置!$B$11*实验设置!$B$16*COS(RADIANS(C89)))</f>
        <v>0.28637578836664</v>
      </c>
      <c r="E89" s="7">
        <f>IF(OR(B89="",C89="",实验设置!$B$13=""),"",实验设置!$B$16*(SIN(RADIANS(C89))-实验设置!$B$13*COS(RADIANS(C89))))</f>
        <v>3.54612428732688</v>
      </c>
      <c r="F89" s="5"/>
      <c r="G89" s="5"/>
    </row>
    <row r="90" spans="1:7">
      <c r="A90" s="4" t="s">
        <v>232</v>
      </c>
      <c r="B90" s="5" t="s">
        <v>233</v>
      </c>
      <c r="C90" s="6">
        <v>44</v>
      </c>
      <c r="D90" s="7">
        <f>IF(OR(B90="",C90="",实验设置!$B$11="",实验设置!$B$13=""),"",实验设置!$B$13*实验设置!$B$11*实验设置!$B$16*COS(RADIANS(C90)))</f>
        <v>0.28637578836664</v>
      </c>
      <c r="E90" s="7">
        <f>IF(OR(B90="",C90="",实验设置!$B$13=""),"",实验设置!$B$16*(SIN(RADIANS(C90))-实验设置!$B$13*COS(RADIANS(C90))))</f>
        <v>3.54612428732688</v>
      </c>
      <c r="F90" s="5"/>
      <c r="G90" s="5"/>
    </row>
    <row r="91" spans="1:7">
      <c r="A91" s="4" t="s">
        <v>234</v>
      </c>
      <c r="B91" s="5" t="s">
        <v>235</v>
      </c>
      <c r="C91" s="6">
        <v>44</v>
      </c>
      <c r="D91" s="7">
        <f>IF(OR(B91="",C91="",实验设置!$B$11="",实验设置!$B$13=""),"",实验设置!$B$13*实验设置!$B$11*实验设置!$B$16*COS(RADIANS(C91)))</f>
        <v>0.28637578836664</v>
      </c>
      <c r="E91" s="7">
        <f>IF(OR(B91="",C91="",实验设置!$B$13=""),"",实验设置!$B$16*(SIN(RADIANS(C91))-实验设置!$B$13*COS(RADIANS(C91))))</f>
        <v>3.54612428732688</v>
      </c>
      <c r="F91" s="8" t="s">
        <v>72</v>
      </c>
      <c r="G91" s="8" t="s">
        <v>73</v>
      </c>
    </row>
    <row r="92" spans="1:7">
      <c r="A92" s="4" t="s">
        <v>236</v>
      </c>
      <c r="B92" s="5" t="s">
        <v>237</v>
      </c>
      <c r="C92" s="6">
        <v>44</v>
      </c>
      <c r="D92" s="7">
        <f>IF(OR(B92="",C92="",实验设置!$B$11="",实验设置!$B$13=""),"",实验设置!$B$13*实验设置!$B$11*实验设置!$B$16*COS(RADIANS(C92)))</f>
        <v>0.28637578836664</v>
      </c>
      <c r="E92" s="7">
        <f>IF(OR(B92="",C92="",实验设置!$B$13=""),"",实验设置!$B$16*(SIN(RADIANS(C92))-实验设置!$B$13*COS(RADIANS(C92))))</f>
        <v>3.54612428732688</v>
      </c>
      <c r="F92" s="8" t="s">
        <v>72</v>
      </c>
      <c r="G92" s="8" t="s">
        <v>73</v>
      </c>
    </row>
    <row r="93" spans="1:7">
      <c r="A93" s="4" t="s">
        <v>238</v>
      </c>
      <c r="B93" s="5" t="s">
        <v>239</v>
      </c>
      <c r="C93" s="6">
        <v>44</v>
      </c>
      <c r="D93" s="7">
        <f>IF(OR(B93="",C93="",实验设置!$B$11="",实验设置!$B$13=""),"",实验设置!$B$13*实验设置!$B$11*实验设置!$B$16*COS(RADIANS(C93)))</f>
        <v>0.28637578836664</v>
      </c>
      <c r="E93" s="7">
        <f>IF(OR(B93="",C93="",实验设置!$B$13=""),"",实验设置!$B$16*(SIN(RADIANS(C93))-实验设置!$B$13*COS(RADIANS(C93))))</f>
        <v>3.54612428732688</v>
      </c>
      <c r="F93" s="8" t="s">
        <v>72</v>
      </c>
      <c r="G93" s="8" t="s">
        <v>73</v>
      </c>
    </row>
    <row r="94" spans="1:7">
      <c r="A94" s="4" t="s">
        <v>240</v>
      </c>
      <c r="B94" s="5" t="s">
        <v>241</v>
      </c>
      <c r="C94" s="6">
        <v>44</v>
      </c>
      <c r="D94" s="7">
        <f>IF(OR(B94="",C94="",实验设置!$B$11="",实验设置!$B$13=""),"",实验设置!$B$13*实验设置!$B$11*实验设置!$B$16*COS(RADIANS(C94)))</f>
        <v>0.28637578836664</v>
      </c>
      <c r="E94" s="7">
        <f>IF(OR(B94="",C94="",实验设置!$B$13=""),"",实验设置!$B$16*(SIN(RADIANS(C94))-实验设置!$B$13*COS(RADIANS(C94))))</f>
        <v>3.54612428732688</v>
      </c>
      <c r="F94" s="8" t="s">
        <v>72</v>
      </c>
      <c r="G94" s="8" t="s">
        <v>73</v>
      </c>
    </row>
    <row r="95" spans="1:7">
      <c r="A95" s="4" t="s">
        <v>242</v>
      </c>
      <c r="B95" s="5" t="s">
        <v>243</v>
      </c>
      <c r="C95" s="6">
        <v>44</v>
      </c>
      <c r="D95" s="7">
        <f>IF(OR(B95="",C95="",实验设置!$B$11="",实验设置!$B$13=""),"",实验设置!$B$13*实验设置!$B$11*实验设置!$B$16*COS(RADIANS(C95)))</f>
        <v>0.28637578836664</v>
      </c>
      <c r="E95" s="7">
        <f>IF(OR(B95="",C95="",实验设置!$B$13=""),"",实验设置!$B$16*(SIN(RADIANS(C95))-实验设置!$B$13*COS(RADIANS(C95))))</f>
        <v>3.54612428732688</v>
      </c>
      <c r="F95" s="8" t="s">
        <v>72</v>
      </c>
      <c r="G95" s="8" t="s">
        <v>73</v>
      </c>
    </row>
    <row r="96" spans="1:7">
      <c r="A96" s="4" t="s">
        <v>244</v>
      </c>
      <c r="B96" s="5" t="s">
        <v>245</v>
      </c>
      <c r="C96" s="6">
        <v>44</v>
      </c>
      <c r="D96" s="7">
        <f>IF(OR(B96="",C96="",实验设置!$B$11="",实验设置!$B$13=""),"",实验设置!$B$13*实验设置!$B$11*实验设置!$B$16*COS(RADIANS(C96)))</f>
        <v>0.28637578836664</v>
      </c>
      <c r="E96" s="7">
        <f>IF(OR(B96="",C96="",实验设置!$B$13=""),"",实验设置!$B$16*(SIN(RADIANS(C96))-实验设置!$B$13*COS(RADIANS(C96))))</f>
        <v>3.54612428732688</v>
      </c>
      <c r="F96" s="8" t="s">
        <v>72</v>
      </c>
      <c r="G96" s="5" t="s">
        <v>84</v>
      </c>
    </row>
    <row r="97" spans="1:7">
      <c r="A97" s="4" t="s">
        <v>246</v>
      </c>
      <c r="B97" s="5" t="s">
        <v>247</v>
      </c>
      <c r="C97" s="6">
        <v>44</v>
      </c>
      <c r="D97" s="7">
        <f>IF(OR(B97="",C97="",实验设置!$B$11="",实验设置!$B$13=""),"",实验设置!$B$13*实验设置!$B$11*实验设置!$B$16*COS(RADIANS(C97)))</f>
        <v>0.28637578836664</v>
      </c>
      <c r="E97" s="7">
        <f>IF(OR(B97="",C97="",实验设置!$B$13=""),"",实验设置!$B$16*(SIN(RADIANS(C97))-实验设置!$B$13*COS(RADIANS(C97))))</f>
        <v>3.54612428732688</v>
      </c>
      <c r="F97" s="8" t="s">
        <v>72</v>
      </c>
      <c r="G97" s="5" t="s">
        <v>84</v>
      </c>
    </row>
    <row r="98" spans="1:7">
      <c r="A98" s="4" t="s">
        <v>248</v>
      </c>
      <c r="B98" s="5" t="s">
        <v>249</v>
      </c>
      <c r="C98" s="6">
        <v>44</v>
      </c>
      <c r="D98" s="7">
        <f>IF(OR(B98="",C98="",实验设置!$B$11="",实验设置!$B$13=""),"",实验设置!$B$13*实验设置!$B$11*实验设置!$B$16*COS(RADIANS(C98)))</f>
        <v>0.28637578836664</v>
      </c>
      <c r="E98" s="7">
        <f>IF(OR(B98="",C98="",实验设置!$B$13=""),"",实验设置!$B$16*(SIN(RADIANS(C98))-实验设置!$B$13*COS(RADIANS(C98))))</f>
        <v>3.54612428732688</v>
      </c>
      <c r="F98" s="8" t="s">
        <v>72</v>
      </c>
      <c r="G98" s="5" t="s">
        <v>84</v>
      </c>
    </row>
    <row r="99" spans="1:7">
      <c r="A99" s="4" t="s">
        <v>250</v>
      </c>
      <c r="B99" s="5" t="s">
        <v>251</v>
      </c>
      <c r="C99" s="6">
        <v>44</v>
      </c>
      <c r="D99" s="7">
        <f>IF(OR(B99="",C99="",实验设置!$B$11="",实验设置!$B$13=""),"",实验设置!$B$13*实验设置!$B$11*实验设置!$B$16*COS(RADIANS(C99)))</f>
        <v>0.28637578836664</v>
      </c>
      <c r="E99" s="7">
        <f>IF(OR(B99="",C99="",实验设置!$B$13=""),"",实验设置!$B$16*(SIN(RADIANS(C99))-实验设置!$B$13*COS(RADIANS(C99))))</f>
        <v>3.54612428732688</v>
      </c>
      <c r="F99" s="8" t="s">
        <v>72</v>
      </c>
      <c r="G99" s="5" t="s">
        <v>84</v>
      </c>
    </row>
    <row r="100" spans="1:7">
      <c r="A100" s="4" t="s">
        <v>252</v>
      </c>
      <c r="B100" s="5" t="s">
        <v>253</v>
      </c>
      <c r="C100" s="6">
        <v>44</v>
      </c>
      <c r="D100" s="7">
        <f>IF(OR(B100="",C100="",实验设置!$B$11="",实验设置!$B$13=""),"",实验设置!$B$13*实验设置!$B$11*实验设置!$B$16*COS(RADIANS(C100)))</f>
        <v>0.28637578836664</v>
      </c>
      <c r="E100" s="7">
        <f>IF(OR(B100="",C100="",实验设置!$B$13=""),"",实验设置!$B$16*(SIN(RADIANS(C100))-实验设置!$B$13*COS(RADIANS(C100))))</f>
        <v>3.54612428732688</v>
      </c>
      <c r="F100" s="8" t="s">
        <v>72</v>
      </c>
      <c r="G100" s="5" t="s">
        <v>84</v>
      </c>
    </row>
    <row r="101" spans="1:7">
      <c r="A101" s="4" t="s">
        <v>254</v>
      </c>
      <c r="B101" s="5" t="s">
        <v>255</v>
      </c>
      <c r="C101" s="6">
        <v>44</v>
      </c>
      <c r="D101" s="7">
        <f>IF(OR(B101="",C101="",实验设置!$B$11="",实验设置!$B$13=""),"",实验设置!$B$13*实验设置!$B$11*实验设置!$B$16*COS(RADIANS(C101)))</f>
        <v>0.28637578836664</v>
      </c>
      <c r="E101" s="7">
        <f>IF(OR(B101="",C101="",实验设置!$B$13=""),"",实验设置!$B$16*(SIN(RADIANS(C101))-实验设置!$B$13*COS(RADIANS(C101))))</f>
        <v>3.54612428732688</v>
      </c>
      <c r="F101" s="8" t="s">
        <v>72</v>
      </c>
      <c r="G101" s="8" t="s">
        <v>95</v>
      </c>
    </row>
    <row r="102" spans="1:7">
      <c r="A102" s="4" t="s">
        <v>256</v>
      </c>
      <c r="B102" s="5" t="s">
        <v>257</v>
      </c>
      <c r="C102" s="6">
        <v>44</v>
      </c>
      <c r="D102" s="7">
        <f>IF(OR(B102="",C102="",实验设置!$B$11="",实验设置!$B$13=""),"",实验设置!$B$13*实验设置!$B$11*实验设置!$B$16*COS(RADIANS(C102)))</f>
        <v>0.28637578836664</v>
      </c>
      <c r="E102" s="7">
        <f>IF(OR(B102="",C102="",实验设置!$B$13=""),"",实验设置!$B$16*(SIN(RADIANS(C102))-实验设置!$B$13*COS(RADIANS(C102))))</f>
        <v>3.54612428732688</v>
      </c>
      <c r="F102" s="8" t="s">
        <v>72</v>
      </c>
      <c r="G102" s="8" t="s">
        <v>95</v>
      </c>
    </row>
    <row r="103" spans="1:7">
      <c r="A103" s="4" t="s">
        <v>258</v>
      </c>
      <c r="B103" s="5" t="s">
        <v>259</v>
      </c>
      <c r="C103" s="6">
        <v>44</v>
      </c>
      <c r="D103" s="7">
        <f>IF(OR(B103="",C103="",实验设置!$B$11="",实验设置!$B$13=""),"",实验设置!$B$13*实验设置!$B$11*实验设置!$B$16*COS(RADIANS(C103)))</f>
        <v>0.28637578836664</v>
      </c>
      <c r="E103" s="7">
        <f>IF(OR(B103="",C103="",实验设置!$B$13=""),"",实验设置!$B$16*(SIN(RADIANS(C103))-实验设置!$B$13*COS(RADIANS(C103))))</f>
        <v>3.54612428732688</v>
      </c>
      <c r="F103" s="8" t="s">
        <v>72</v>
      </c>
      <c r="G103" s="8" t="s">
        <v>95</v>
      </c>
    </row>
    <row r="104" spans="1:7">
      <c r="A104" s="4" t="s">
        <v>260</v>
      </c>
      <c r="B104" s="5" t="s">
        <v>261</v>
      </c>
      <c r="C104" s="6">
        <v>44</v>
      </c>
      <c r="D104" s="7">
        <f>IF(OR(B104="",C104="",实验设置!$B$11="",实验设置!$B$13=""),"",实验设置!$B$13*实验设置!$B$11*实验设置!$B$16*COS(RADIANS(C104)))</f>
        <v>0.28637578836664</v>
      </c>
      <c r="E104" s="7">
        <f>IF(OR(B104="",C104="",实验设置!$B$13=""),"",实验设置!$B$16*(SIN(RADIANS(C104))-实验设置!$B$13*COS(RADIANS(C104))))</f>
        <v>3.54612428732688</v>
      </c>
      <c r="F104" s="8" t="s">
        <v>72</v>
      </c>
      <c r="G104" s="8" t="s">
        <v>95</v>
      </c>
    </row>
    <row r="105" spans="1:7">
      <c r="A105" s="4" t="s">
        <v>262</v>
      </c>
      <c r="B105" s="5" t="s">
        <v>263</v>
      </c>
      <c r="C105" s="6">
        <v>44</v>
      </c>
      <c r="D105" s="7">
        <f>IF(OR(B105="",C105="",实验设置!$B$11="",实验设置!$B$13=""),"",实验设置!$B$13*实验设置!$B$11*实验设置!$B$16*COS(RADIANS(C105)))</f>
        <v>0.28637578836664</v>
      </c>
      <c r="E105" s="7">
        <f>IF(OR(B105="",C105="",实验设置!$B$13=""),"",实验设置!$B$16*(SIN(RADIANS(C105))-实验设置!$B$13*COS(RADIANS(C105))))</f>
        <v>3.54612428732688</v>
      </c>
      <c r="F105" s="8" t="s">
        <v>72</v>
      </c>
      <c r="G105" s="8" t="s">
        <v>95</v>
      </c>
    </row>
    <row r="106" spans="1:7">
      <c r="A106" s="4" t="s">
        <v>264</v>
      </c>
      <c r="B106" s="5"/>
      <c r="C106" s="6"/>
      <c r="D106" s="7" t="str">
        <f>IF(OR(B106="",C106="",实验设置!$B$11="",实验设置!$B$13=""),"",实验设置!$B$13*实验设置!$B$11*实验设置!$B$16*COS(RADIANS(C106)))</f>
        <v/>
      </c>
      <c r="E106" s="7" t="str">
        <f>IF(OR(B106="",C106="",实验设置!$B$13=""),"",实验设置!$B$16*(SIN(RADIANS(C106))-实验设置!$B$13*COS(RADIANS(C106))))</f>
        <v/>
      </c>
      <c r="F106" s="5"/>
      <c r="G106" s="5"/>
    </row>
    <row r="107" spans="1:7">
      <c r="A107" s="4" t="s">
        <v>265</v>
      </c>
      <c r="B107" s="5"/>
      <c r="C107" s="6"/>
      <c r="D107" s="7" t="str">
        <f>IF(OR(B107="",C107="",实验设置!$B$11="",实验设置!$B$13=""),"",实验设置!$B$13*实验设置!$B$11*实验设置!$B$16*COS(RADIANS(C107)))</f>
        <v/>
      </c>
      <c r="E107" s="7" t="str">
        <f>IF(OR(B107="",C107="",实验设置!$B$13=""),"",实验设置!$B$16*(SIN(RADIANS(C107))-实验设置!$B$13*COS(RADIANS(C107))))</f>
        <v/>
      </c>
      <c r="F107" s="5"/>
      <c r="G107" s="5"/>
    </row>
    <row r="108" spans="1:7">
      <c r="A108" s="4" t="s">
        <v>266</v>
      </c>
      <c r="B108" s="5"/>
      <c r="C108" s="6"/>
      <c r="D108" s="7" t="str">
        <f>IF(OR(B108="",C108="",实验设置!$B$11="",实验设置!$B$13=""),"",实验设置!$B$13*实验设置!$B$11*实验设置!$B$16*COS(RADIANS(C108)))</f>
        <v/>
      </c>
      <c r="E108" s="7" t="str">
        <f>IF(OR(B108="",C108="",实验设置!$B$13=""),"",实验设置!$B$16*(SIN(RADIANS(C108))-实验设置!$B$13*COS(RADIANS(C108))))</f>
        <v/>
      </c>
      <c r="F108" s="5"/>
      <c r="G108" s="5"/>
    </row>
    <row r="109" spans="1:7">
      <c r="A109" s="4" t="s">
        <v>267</v>
      </c>
      <c r="B109" s="5"/>
      <c r="C109" s="6"/>
      <c r="D109" s="7" t="str">
        <f>IF(OR(B109="",C109="",实验设置!$B$11="",实验设置!$B$13=""),"",实验设置!$B$13*实验设置!$B$11*实验设置!$B$16*COS(RADIANS(C109)))</f>
        <v/>
      </c>
      <c r="E109" s="7" t="str">
        <f>IF(OR(B109="",C109="",实验设置!$B$13=""),"",实验设置!$B$16*(SIN(RADIANS(C109))-实验设置!$B$13*COS(RADIANS(C109))))</f>
        <v/>
      </c>
      <c r="F109" s="5"/>
      <c r="G109" s="5"/>
    </row>
    <row r="110" spans="1:7">
      <c r="A110" s="4" t="s">
        <v>268</v>
      </c>
      <c r="B110" s="5"/>
      <c r="C110" s="6"/>
      <c r="D110" s="7" t="str">
        <f>IF(OR(B110="",C110="",实验设置!$B$11="",实验设置!$B$13=""),"",实验设置!$B$13*实验设置!$B$11*实验设置!$B$16*COS(RADIANS(C110)))</f>
        <v/>
      </c>
      <c r="E110" s="7" t="str">
        <f>IF(OR(B110="",C110="",实验设置!$B$13=""),"",实验设置!$B$16*(SIN(RADIANS(C110))-实验设置!$B$13*COS(RADIANS(C110))))</f>
        <v/>
      </c>
      <c r="F110" s="5"/>
      <c r="G110" s="5"/>
    </row>
    <row r="111" spans="1:7">
      <c r="A111" s="4" t="s">
        <v>269</v>
      </c>
      <c r="B111" s="5"/>
      <c r="C111" s="6"/>
      <c r="D111" s="7" t="str">
        <f>IF(OR(B111="",C111="",实验设置!$B$11="",实验设置!$B$13=""),"",实验设置!$B$13*实验设置!$B$11*实验设置!$B$16*COS(RADIANS(C111)))</f>
        <v/>
      </c>
      <c r="E111" s="7" t="str">
        <f>IF(OR(B111="",C111="",实验设置!$B$13=""),"",实验设置!$B$16*(SIN(RADIANS(C111))-实验设置!$B$13*COS(RADIANS(C111))))</f>
        <v/>
      </c>
      <c r="F111" s="5"/>
      <c r="G111" s="5"/>
    </row>
    <row r="112" spans="1:7">
      <c r="A112" s="4" t="s">
        <v>270</v>
      </c>
      <c r="B112" s="5"/>
      <c r="C112" s="6"/>
      <c r="D112" s="7" t="str">
        <f>IF(OR(B112="",C112="",实验设置!$B$11="",实验设置!$B$13=""),"",实验设置!$B$13*实验设置!$B$11*实验设置!$B$16*COS(RADIANS(C112)))</f>
        <v/>
      </c>
      <c r="E112" s="7" t="str">
        <f>IF(OR(B112="",C112="",实验设置!$B$13=""),"",实验设置!$B$16*(SIN(RADIANS(C112))-实验设置!$B$13*COS(RADIANS(C112))))</f>
        <v/>
      </c>
      <c r="F112" s="5"/>
      <c r="G112" s="5"/>
    </row>
    <row r="113" spans="1:7">
      <c r="A113" s="4" t="s">
        <v>271</v>
      </c>
      <c r="B113" s="5"/>
      <c r="C113" s="6"/>
      <c r="D113" s="7" t="str">
        <f>IF(OR(B113="",C113="",实验设置!$B$11="",实验设置!$B$13=""),"",实验设置!$B$13*实验设置!$B$11*实验设置!$B$16*COS(RADIANS(C113)))</f>
        <v/>
      </c>
      <c r="E113" s="7" t="str">
        <f>IF(OR(B113="",C113="",实验设置!$B$13=""),"",实验设置!$B$16*(SIN(RADIANS(C113))-实验设置!$B$13*COS(RADIANS(C113))))</f>
        <v/>
      </c>
      <c r="F113" s="5"/>
      <c r="G113" s="5"/>
    </row>
    <row r="114" spans="1:7">
      <c r="A114" s="4" t="s">
        <v>272</v>
      </c>
      <c r="B114" s="5"/>
      <c r="C114" s="6"/>
      <c r="D114" s="7" t="str">
        <f>IF(OR(B114="",C114="",实验设置!$B$11="",实验设置!$B$13=""),"",实验设置!$B$13*实验设置!$B$11*实验设置!$B$16*COS(RADIANS(C114)))</f>
        <v/>
      </c>
      <c r="E114" s="7" t="str">
        <f>IF(OR(B114="",C114="",实验设置!$B$13=""),"",实验设置!$B$16*(SIN(RADIANS(C114))-实验设置!$B$13*COS(RADIANS(C114))))</f>
        <v/>
      </c>
      <c r="F114" s="5"/>
      <c r="G114" s="5"/>
    </row>
    <row r="115" spans="1:7">
      <c r="A115" s="4" t="s">
        <v>273</v>
      </c>
      <c r="B115" s="5"/>
      <c r="C115" s="6"/>
      <c r="D115" s="7" t="str">
        <f>IF(OR(B115="",C115="",实验设置!$B$11="",实验设置!$B$13=""),"",实验设置!$B$13*实验设置!$B$11*实验设置!$B$16*COS(RADIANS(C115)))</f>
        <v/>
      </c>
      <c r="E115" s="7" t="str">
        <f>IF(OR(B115="",C115="",实验设置!$B$13=""),"",实验设置!$B$16*(SIN(RADIANS(C115))-实验设置!$B$13*COS(RADIANS(C115))))</f>
        <v/>
      </c>
      <c r="F115" s="5"/>
      <c r="G115" s="5"/>
    </row>
    <row r="116" spans="1:7">
      <c r="A116" s="4" t="s">
        <v>274</v>
      </c>
      <c r="B116" s="5"/>
      <c r="C116" s="6"/>
      <c r="D116" s="7" t="str">
        <f>IF(OR(B116="",C116="",实验设置!$B$11="",实验设置!$B$13=""),"",实验设置!$B$13*实验设置!$B$11*实验设置!$B$16*COS(RADIANS(C116)))</f>
        <v/>
      </c>
      <c r="E116" s="7" t="str">
        <f>IF(OR(B116="",C116="",实验设置!$B$13=""),"",实验设置!$B$16*(SIN(RADIANS(C116))-实验设置!$B$13*COS(RADIANS(C116))))</f>
        <v/>
      </c>
      <c r="F116" s="5"/>
      <c r="G116" s="5"/>
    </row>
    <row r="117" spans="1:7">
      <c r="A117" s="4" t="s">
        <v>275</v>
      </c>
      <c r="B117" s="5"/>
      <c r="C117" s="6"/>
      <c r="D117" s="7" t="str">
        <f>IF(OR(B117="",C117="",实验设置!$B$11="",实验设置!$B$13=""),"",实验设置!$B$13*实验设置!$B$11*实验设置!$B$16*COS(RADIANS(C117)))</f>
        <v/>
      </c>
      <c r="E117" s="7" t="str">
        <f>IF(OR(B117="",C117="",实验设置!$B$13=""),"",实验设置!$B$16*(SIN(RADIANS(C117))-实验设置!$B$13*COS(RADIANS(C117))))</f>
        <v/>
      </c>
      <c r="F117" s="5"/>
      <c r="G117" s="5"/>
    </row>
    <row r="118" spans="1:7">
      <c r="A118" s="4" t="s">
        <v>276</v>
      </c>
      <c r="B118" s="5"/>
      <c r="C118" s="6"/>
      <c r="D118" s="7" t="str">
        <f>IF(OR(B118="",C118="",实验设置!$B$11="",实验设置!$B$13=""),"",实验设置!$B$13*实验设置!$B$11*实验设置!$B$16*COS(RADIANS(C118)))</f>
        <v/>
      </c>
      <c r="E118" s="7" t="str">
        <f>IF(OR(B118="",C118="",实验设置!$B$13=""),"",实验设置!$B$16*(SIN(RADIANS(C118))-实验设置!$B$13*COS(RADIANS(C118))))</f>
        <v/>
      </c>
      <c r="F118" s="5"/>
      <c r="G118" s="5"/>
    </row>
    <row r="119" spans="1:7">
      <c r="A119" s="4" t="s">
        <v>277</v>
      </c>
      <c r="B119" s="5"/>
      <c r="C119" s="6"/>
      <c r="D119" s="7" t="str">
        <f>IF(OR(B119="",C119="",实验设置!$B$11="",实验设置!$B$13=""),"",实验设置!$B$13*实验设置!$B$11*实验设置!$B$16*COS(RADIANS(C119)))</f>
        <v/>
      </c>
      <c r="E119" s="7" t="str">
        <f>IF(OR(B119="",C119="",实验设置!$B$13=""),"",实验设置!$B$16*(SIN(RADIANS(C119))-实验设置!$B$13*COS(RADIANS(C119))))</f>
        <v/>
      </c>
      <c r="F119" s="5"/>
      <c r="G119" s="5"/>
    </row>
    <row r="120" spans="1:7">
      <c r="A120" s="4" t="s">
        <v>278</v>
      </c>
      <c r="B120" s="5"/>
      <c r="C120" s="6"/>
      <c r="D120" s="7" t="str">
        <f>IF(OR(B120="",C120="",实验设置!$B$11="",实验设置!$B$13=""),"",实验设置!$B$13*实验设置!$B$11*实验设置!$B$16*COS(RADIANS(C120)))</f>
        <v/>
      </c>
      <c r="E120" s="7" t="str">
        <f>IF(OR(B120="",C120="",实验设置!$B$13=""),"",实验设置!$B$16*(SIN(RADIANS(C120))-实验设置!$B$13*COS(RADIANS(C120))))</f>
        <v/>
      </c>
      <c r="F120" s="5"/>
      <c r="G120" s="5"/>
    </row>
    <row r="121" spans="1:7">
      <c r="A121" s="4" t="s">
        <v>279</v>
      </c>
      <c r="B121" s="5"/>
      <c r="C121" s="6"/>
      <c r="D121" s="7" t="str">
        <f>IF(OR(B121="",C121="",实验设置!$B$11="",实验设置!$B$13=""),"",实验设置!$B$13*实验设置!$B$11*实验设置!$B$16*COS(RADIANS(C121)))</f>
        <v/>
      </c>
      <c r="E121" s="7" t="str">
        <f>IF(OR(B121="",C121="",实验设置!$B$13=""),"",实验设置!$B$16*(SIN(RADIANS(C121))-实验设置!$B$13*COS(RADIANS(C121))))</f>
        <v/>
      </c>
      <c r="F121" s="5"/>
      <c r="G121" s="5"/>
    </row>
    <row r="122" spans="1:7">
      <c r="A122" s="4" t="s">
        <v>280</v>
      </c>
      <c r="B122" s="5"/>
      <c r="C122" s="6"/>
      <c r="D122" s="7" t="str">
        <f>IF(OR(B122="",C122="",实验设置!$B$11="",实验设置!$B$13=""),"",实验设置!$B$13*实验设置!$B$11*实验设置!$B$16*COS(RADIANS(C122)))</f>
        <v/>
      </c>
      <c r="E122" s="7" t="str">
        <f>IF(OR(B122="",C122="",实验设置!$B$13=""),"",实验设置!$B$16*(SIN(RADIANS(C122))-实验设置!$B$13*COS(RADIANS(C122))))</f>
        <v/>
      </c>
      <c r="F122" s="5"/>
      <c r="G122" s="5"/>
    </row>
    <row r="123" spans="1:7">
      <c r="A123" s="4" t="s">
        <v>281</v>
      </c>
      <c r="B123" s="5"/>
      <c r="C123" s="6"/>
      <c r="D123" s="7" t="str">
        <f>IF(OR(B123="",C123="",实验设置!$B$11="",实验设置!$B$13=""),"",实验设置!$B$13*实验设置!$B$11*实验设置!$B$16*COS(RADIANS(C123)))</f>
        <v/>
      </c>
      <c r="E123" s="7" t="str">
        <f>IF(OR(B123="",C123="",实验设置!$B$13=""),"",实验设置!$B$16*(SIN(RADIANS(C123))-实验设置!$B$13*COS(RADIANS(C123))))</f>
        <v/>
      </c>
      <c r="F123" s="5"/>
      <c r="G123" s="5"/>
    </row>
    <row r="124" spans="1:7">
      <c r="A124" s="4" t="s">
        <v>282</v>
      </c>
      <c r="B124" s="5"/>
      <c r="C124" s="6"/>
      <c r="D124" s="7" t="str">
        <f>IF(OR(B124="",C124="",实验设置!$B$11="",实验设置!$B$13=""),"",实验设置!$B$13*实验设置!$B$11*实验设置!$B$16*COS(RADIANS(C124)))</f>
        <v/>
      </c>
      <c r="E124" s="7" t="str">
        <f>IF(OR(B124="",C124="",实验设置!$B$13=""),"",实验设置!$B$16*(SIN(RADIANS(C124))-实验设置!$B$13*COS(RADIANS(C124))))</f>
        <v/>
      </c>
      <c r="F124" s="5"/>
      <c r="G124" s="5"/>
    </row>
    <row r="125" spans="1:7">
      <c r="A125" s="4" t="s">
        <v>283</v>
      </c>
      <c r="B125" s="5"/>
      <c r="C125" s="6"/>
      <c r="D125" s="7" t="str">
        <f>IF(OR(B125="",C125="",实验设置!$B$11="",实验设置!$B$13=""),"",实验设置!$B$13*实验设置!$B$11*实验设置!$B$16*COS(RADIANS(C125)))</f>
        <v/>
      </c>
      <c r="E125" s="7" t="str">
        <f>IF(OR(B125="",C125="",实验设置!$B$13=""),"",实验设置!$B$16*(SIN(RADIANS(C125))-实验设置!$B$13*COS(RADIANS(C125))))</f>
        <v/>
      </c>
      <c r="F125" s="5"/>
      <c r="G125" s="5"/>
    </row>
  </sheetData>
  <mergeCells count="2">
    <mergeCell ref="A3:G3"/>
    <mergeCell ref="A1:G2"/>
  </mergeCells>
  <dataValidations count="4">
    <dataValidation type="decimal" operator="between" sqref="C26 C6:C10 C11:C15 C16:C20 C21:C25 C27:C30 C31:C35 C36:C45 C46:C50 C51:C55 C56:C61 C62:C65 C66:C70 C71:C74 C75:C85 C86:C89 C90:C94 C95:C105 C106:C125">
      <formula1>0</formula1>
      <formula2>89.9</formula2>
    </dataValidation>
    <dataValidation type="decimal" operator="between" sqref="D6:D9 D10:D14 D15:D25 D26:D29 D30:D34 D35:D45 D46:D49 D50:D54 D55:D65 D66:D69 D70:D74 D75:D85 D86:D125">
      <formula1>0</formula1>
      <formula2>10000</formula2>
    </dataValidation>
    <dataValidation type="decimal" operator="between" sqref="E6:E9 E10:E14 E15:E25 E26:E29 E30:E34 E35:E45 E46:E49 E50:E54 E55:E65 E66:E69 E70:E74 E75:E85 E86:E125">
      <formula1>0.0001</formula1>
      <formula2>1000</formula2>
    </dataValidation>
    <dataValidation type="list" allowBlank="1" sqref="F6:F10 F11:F14 F15:F20 F21:F25 F26:F30 F31:F35 F36:F39 F40:F45 F46:F50 F51:F55 F56:F60 F61:F65 F66:F70 F71:F74 F75:F85 F86:F90 F91:F94 F95:F105 F106:F125">
      <formula1>"否,是"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实验设置</vt:lpstr>
      <vt:lpstr>Trial记录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27705</cp:lastModifiedBy>
  <dcterms:created xsi:type="dcterms:W3CDTF">2026-07-23T14:09:00Z</dcterms:created>
  <dcterms:modified xsi:type="dcterms:W3CDTF">2026-07-23T09:27:26Z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53DCBAFEF0524237A4A4853E46BEDB60_13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