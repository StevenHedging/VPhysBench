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 activeTab="1"/>
  </bookViews>
  <sheets>
    <sheet name="实验设置" sheetId="1" r:id="rId1"/>
    <sheet name="Trial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<sst xmlns="http://schemas.openxmlformats.org/spreadsheetml/2006/main" count="216" uniqueCount="160">
  <si>
    <t>平抛运动实验｜空中轨迹与光电门测速</t>
  </si>
  <si>
    <t>同一批次固定物体、光电门位置、抛出点高度和相机设置；每个 Trial 记录光电门 block time，并自动计算瞬时速度。</t>
  </si>
  <si>
    <t>填写项目</t>
  </si>
  <si>
    <t>填写值</t>
  </si>
  <si>
    <t>手机型号</t>
  </si>
  <si>
    <t>iPhone 12</t>
  </si>
  <si>
    <t>录像模式</t>
  </si>
  <si>
    <t>1080p / 240 fps（慢动作）</t>
  </si>
  <si>
    <t>物体种类</t>
  </si>
  <si>
    <t>大钢球</t>
  </si>
  <si>
    <t>物体直径_mm</t>
  </si>
  <si>
    <t>物体质量_g</t>
  </si>
  <si>
    <t>物体体积_cm3</t>
  </si>
  <si>
    <t>物体密度_g_cm3</t>
  </si>
  <si>
    <t>光电门型号或编号</t>
  </si>
  <si>
    <t>光电门位置</t>
  </si>
  <si>
    <t>轨道出口前1.2cm</t>
  </si>
  <si>
    <t>抛出点距地面高度_cm</t>
  </si>
  <si>
    <t>整体备注</t>
  </si>
  <si>
    <t>自动计算：球体体积 V = πd³/6；密度 ρ = m/V；瞬时速度 v = d/Δt。使用 mm 和 ms 时，d ÷ block time 的数值单位直接为 m/s。</t>
  </si>
  <si>
    <t>Trial 记录｜每段视频一行</t>
  </si>
  <si>
    <t>人工填写视频文件名和光电门 block time；瞬时速度自动计算，空中轨迹后续从原始视频自动提取。</t>
  </si>
  <si>
    <t>Trial编号</t>
  </si>
  <si>
    <t>视频文件名</t>
  </si>
  <si>
    <t>光电门block_time_ms</t>
  </si>
  <si>
    <t>瞬时速度_m_s</t>
  </si>
  <si>
    <t>是否更换背景</t>
  </si>
  <si>
    <t>背景说明（可空）</t>
  </si>
  <si>
    <t>备注（可空）</t>
  </si>
  <si>
    <t>T001</t>
  </si>
  <si>
    <t>IMG_0625</t>
  </si>
  <si>
    <t>10°42.5cm</t>
  </si>
  <si>
    <t>T002</t>
  </si>
  <si>
    <t>IMG_0626</t>
  </si>
  <si>
    <t>T003</t>
  </si>
  <si>
    <t>IMG_0627</t>
  </si>
  <si>
    <t>T004</t>
  </si>
  <si>
    <t>IMG_0629</t>
  </si>
  <si>
    <t>T005</t>
  </si>
  <si>
    <t>IMG_0630</t>
  </si>
  <si>
    <t>T006</t>
  </si>
  <si>
    <t>IMG_0642</t>
  </si>
  <si>
    <t>是</t>
  </si>
  <si>
    <t>黑色</t>
  </si>
  <si>
    <t>T007</t>
  </si>
  <si>
    <t>IMG_0643</t>
  </si>
  <si>
    <t>T008</t>
  </si>
  <si>
    <t>IMG_0644</t>
  </si>
  <si>
    <t>T009</t>
  </si>
  <si>
    <t>IMG_0645</t>
  </si>
  <si>
    <t>T010</t>
  </si>
  <si>
    <t>IMG_0646</t>
  </si>
  <si>
    <t>T011</t>
  </si>
  <si>
    <t>IMG_0631</t>
  </si>
  <si>
    <t>10°72.5cm</t>
  </si>
  <si>
    <t>T012</t>
  </si>
  <si>
    <t>IMG_0632</t>
  </si>
  <si>
    <t>T013</t>
  </si>
  <si>
    <t>IMG_0633</t>
  </si>
  <si>
    <t>T014</t>
  </si>
  <si>
    <t>IMG_0634</t>
  </si>
  <si>
    <t>T015</t>
  </si>
  <si>
    <t>IMG_0635</t>
  </si>
  <si>
    <t>T016</t>
  </si>
  <si>
    <t>IMG_0647</t>
  </si>
  <si>
    <t>T017</t>
  </si>
  <si>
    <t>IMG_0649</t>
  </si>
  <si>
    <t>T018</t>
  </si>
  <si>
    <t>IMG_0651</t>
  </si>
  <si>
    <t>T019</t>
  </si>
  <si>
    <t>IMG_0652</t>
  </si>
  <si>
    <t>T020</t>
  </si>
  <si>
    <t>IMG_0653</t>
  </si>
  <si>
    <t>T021</t>
  </si>
  <si>
    <t>IMG_0637</t>
  </si>
  <si>
    <t>10°80.5cm</t>
  </si>
  <si>
    <t>T022</t>
  </si>
  <si>
    <t>IMG_0638</t>
  </si>
  <si>
    <t>T023</t>
  </si>
  <si>
    <t>IMG_0639</t>
  </si>
  <si>
    <t>T024</t>
  </si>
  <si>
    <t>IMG_0640</t>
  </si>
  <si>
    <t>T025</t>
  </si>
  <si>
    <t>IMG_0641</t>
  </si>
  <si>
    <t>T026</t>
  </si>
  <si>
    <t>IMG_0654</t>
  </si>
  <si>
    <t>T027</t>
  </si>
  <si>
    <t>IMG_0655</t>
  </si>
  <si>
    <t>T028</t>
  </si>
  <si>
    <t>IMG_0656</t>
  </si>
  <si>
    <t>T029</t>
  </si>
  <si>
    <t>IMG_0657</t>
  </si>
  <si>
    <t>T030</t>
  </si>
  <si>
    <t>IMG_0658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</si>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</sst>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"/>
    <numFmt numFmtId="178" formatCode="0.0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183B56"/>
      <name val="Carlito"/>
      <charset val="134"/>
    </font>
    <font>
      <b/>
      <sz val="11"/>
      <color rgb="FFFFFFFF"/>
      <name val="Carlito"/>
      <charset val="134"/>
    </font>
    <font>
      <sz val="10"/>
      <color rgb="FF263238"/>
      <name val="Carlito"/>
      <charset val="134"/>
    </font>
    <font>
      <sz val="10"/>
      <color rgb="FF263238"/>
      <name val="宋体"/>
      <charset val="134"/>
    </font>
    <font>
      <b/>
      <sz val="10"/>
      <color rgb="FF263238"/>
      <name val="Carlito"/>
      <charset val="134"/>
    </font>
    <font>
      <b/>
      <sz val="10"/>
      <color rgb="FF183B5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87271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3" borderId="1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vertical="center"/>
    </xf>
    <xf numFmtId="176" fontId="4" fillId="5" borderId="1" xfId="49" applyNumberFormat="1" applyFont="1" applyFill="1" applyBorder="1" applyAlignment="1">
      <alignment vertical="center"/>
    </xf>
    <xf numFmtId="177" fontId="4" fillId="3" borderId="1" xfId="49" applyNumberFormat="1" applyFont="1" applyFill="1" applyBorder="1" applyAlignment="1">
      <alignment horizontal="right" vertical="center"/>
    </xf>
    <xf numFmtId="0" fontId="5" fillId="5" borderId="1" xfId="49" applyNumberFormat="1" applyFont="1" applyFill="1" applyBorder="1" applyAlignment="1">
      <alignment vertical="center"/>
    </xf>
    <xf numFmtId="177" fontId="4" fillId="5" borderId="1" xfId="49" applyNumberFormat="1" applyFont="1" applyFill="1" applyBorder="1" applyAlignment="1">
      <alignment vertical="center"/>
    </xf>
    <xf numFmtId="0" fontId="6" fillId="6" borderId="1" xfId="49" applyNumberFormat="1" applyFont="1" applyFill="1" applyBorder="1" applyAlignment="1">
      <alignment vertical="center"/>
    </xf>
    <xf numFmtId="0" fontId="4" fillId="3" borderId="1" xfId="49" applyNumberFormat="1" applyFont="1" applyFill="1" applyBorder="1" applyAlignment="1">
      <alignment horizontal="left" vertical="center"/>
    </xf>
    <xf numFmtId="2" fontId="4" fillId="5" borderId="1" xfId="49" applyNumberFormat="1" applyFont="1" applyFill="1" applyBorder="1" applyAlignment="1">
      <alignment vertical="center"/>
    </xf>
    <xf numFmtId="178" fontId="4" fillId="5" borderId="1" xfId="49" applyNumberFormat="1" applyFont="1" applyFill="1" applyBorder="1" applyAlignment="1">
      <alignment vertical="center"/>
    </xf>
    <xf numFmtId="0" fontId="7" fillId="3" borderId="2" xfId="49" applyNumberFormat="1" applyFont="1" applyFill="1" applyBorder="1" applyAlignment="1">
      <alignment vertical="center" wrapText="1"/>
    </xf>
    <xf numFmtId="0" fontId="7" fillId="3" borderId="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ileSettingsTable" displayName="ProjectileSettingsTable" ref="A5:B16" totalsRowShown="0">
  <tableColumns count="2">
    <tableColumn id="1" name="填写项目"/>
    <tableColumn id="2" name="填写值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rojectileTrialTable" displayName="ProjectileTrialTable" ref="A5:G102" totalsRowShown="0">
  <autoFilter xmlns:etc="http://www.wps.cn/officeDocument/2017/etCustomData" ref="A5:G102" etc:filterBottomFollowUsedRange="0"/>
  <tableColumns count="7">
    <tableColumn id="1" name="Trial编号"/>
    <tableColumn id="2" name="视频文件名"/>
    <tableColumn id="3" name="光电门block_time_ms"/>
    <tableColumn id="4" name="瞬时速度_m_s"/>
    <tableColumn id="5" name="是否更换背景"/>
    <tableColumn id="6" name="背景说明（可空）"/>
    <tableColumn id="7" name="备注（可空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showGridLines="0" workbookViewId="0">
      <selection activeCell="A19" sqref="A19:B19"/>
    </sheetView>
  </sheetViews>
  <sheetFormatPr defaultColWidth="9" defaultRowHeight="14" outlineLevelCol="1"/>
  <cols>
    <col min="1" max="1" width="25" customWidth="1"/>
    <col min="2" max="2" width="28" customWidth="1"/>
  </cols>
  <sheetData>
    <row r="1" ht="30" customHeight="1" spans="1:2">
      <c r="A1" s="1" t="s">
        <v>0</v>
      </c>
      <c r="B1" s="1"/>
    </row>
    <row r="2" ht="30" customHeight="1" spans="1:2">
      <c r="A2" s="1"/>
      <c r="B2" s="1"/>
    </row>
    <row r="3" ht="34" customHeight="1" spans="1:2">
      <c r="A3" s="2" t="s">
        <v>1</v>
      </c>
      <c r="B3" s="2"/>
    </row>
    <row r="5" ht="36" customHeight="1" spans="1:2">
      <c r="A5" s="3" t="s">
        <v>2</v>
      </c>
      <c r="B5" s="3" t="s">
        <v>3</v>
      </c>
    </row>
    <row r="6" ht="27" customHeight="1" spans="1:2">
      <c r="A6" s="10" t="s">
        <v>4</v>
      </c>
      <c r="B6" s="11" t="s">
        <v>5</v>
      </c>
    </row>
    <row r="7" ht="27" customHeight="1" spans="1:2">
      <c r="A7" s="10" t="s">
        <v>6</v>
      </c>
      <c r="B7" s="11" t="s">
        <v>7</v>
      </c>
    </row>
    <row r="8" ht="27" customHeight="1" spans="1:2">
      <c r="A8" s="10" t="s">
        <v>8</v>
      </c>
      <c r="B8" s="8" t="s">
        <v>9</v>
      </c>
    </row>
    <row r="9" ht="27" customHeight="1" spans="1:2">
      <c r="A9" s="10" t="s">
        <v>10</v>
      </c>
      <c r="B9" s="12">
        <v>23.7</v>
      </c>
    </row>
    <row r="10" ht="27" customHeight="1" spans="1:2">
      <c r="A10" s="10" t="s">
        <v>11</v>
      </c>
      <c r="B10" s="12">
        <v>4.16</v>
      </c>
    </row>
    <row r="11" ht="27" customHeight="1" spans="1:2">
      <c r="A11" s="10" t="s">
        <v>12</v>
      </c>
      <c r="B11" s="7">
        <f>IF(B9&gt;0,PI()/6*(B9/10)^3,"")</f>
        <v>6.97017465149966</v>
      </c>
    </row>
    <row r="12" ht="27" customHeight="1" spans="1:2">
      <c r="A12" s="10" t="s">
        <v>13</v>
      </c>
      <c r="B12" s="7">
        <f>IF(B11&gt;0,B10/B11,"")</f>
        <v>0.596828660398769</v>
      </c>
    </row>
    <row r="13" ht="27" customHeight="1" spans="1:2">
      <c r="A13" s="10" t="s">
        <v>14</v>
      </c>
      <c r="B13" s="5"/>
    </row>
    <row r="14" ht="27" customHeight="1" spans="1:2">
      <c r="A14" s="10" t="s">
        <v>15</v>
      </c>
      <c r="B14" s="8" t="s">
        <v>16</v>
      </c>
    </row>
    <row r="15" ht="27" customHeight="1" spans="1:2">
      <c r="A15" s="10" t="s">
        <v>17</v>
      </c>
      <c r="B15" s="13">
        <v>77</v>
      </c>
    </row>
    <row r="16" ht="27" customHeight="1" spans="1:2">
      <c r="A16" s="10" t="s">
        <v>18</v>
      </c>
      <c r="B16" s="5"/>
    </row>
    <row r="19" ht="42" customHeight="1" spans="1:2">
      <c r="A19" s="14" t="s">
        <v>19</v>
      </c>
      <c r="B19" s="15"/>
    </row>
  </sheetData>
  <mergeCells count="3">
    <mergeCell ref="A3:B3"/>
    <mergeCell ref="A19:B19"/>
    <mergeCell ref="A1:B2"/>
  </mergeCells>
  <dataValidations count="3">
    <dataValidation type="decimal" operator="between" sqref="B9">
      <formula1>0.01</formula1>
      <formula2>1000</formula2>
    </dataValidation>
    <dataValidation type="decimal" operator="between" sqref="B10">
      <formula1>0.001</formula1>
      <formula2>100000</formula2>
    </dataValidation>
    <dataValidation type="decimal" operator="between" sqref="B15">
      <formula1>0.1</formula1>
      <formula2>10000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showGridLines="0" tabSelected="1" zoomScale="85" zoomScaleNormal="85" workbookViewId="0">
      <selection activeCell="F18" sqref="F18"/>
    </sheetView>
  </sheetViews>
  <sheetFormatPr defaultColWidth="9" defaultRowHeight="14" outlineLevelCol="6"/>
  <cols>
    <col min="1" max="1" width="15" customWidth="1"/>
    <col min="2" max="2" width="31" customWidth="1"/>
    <col min="3" max="3" width="24" customWidth="1"/>
    <col min="4" max="4" width="21" customWidth="1"/>
    <col min="5" max="5" width="18" customWidth="1"/>
    <col min="6" max="7" width="34" customWidth="1"/>
  </cols>
  <sheetData>
    <row r="1" ht="30" customHeight="1" spans="1:7">
      <c r="A1" s="1" t="s">
        <v>20</v>
      </c>
      <c r="B1" s="1"/>
      <c r="C1" s="1"/>
      <c r="D1" s="1"/>
      <c r="E1" s="1"/>
      <c r="F1" s="1"/>
      <c r="G1" s="1"/>
    </row>
    <row r="2" ht="30" customHeight="1" spans="1:7">
      <c r="A2" s="1"/>
      <c r="B2" s="1"/>
      <c r="C2" s="1"/>
      <c r="D2" s="1"/>
      <c r="E2" s="1"/>
      <c r="F2" s="1"/>
      <c r="G2" s="1"/>
    </row>
    <row r="3" ht="32" customHeight="1" spans="1:7">
      <c r="A3" s="2" t="s">
        <v>21</v>
      </c>
      <c r="B3" s="2"/>
      <c r="C3" s="2"/>
      <c r="D3" s="2"/>
      <c r="E3" s="2"/>
      <c r="F3" s="2"/>
      <c r="G3" s="2"/>
    </row>
    <row r="5" ht="38" customHeight="1" spans="1:7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ht="24" customHeight="1" spans="1:7">
      <c r="A6" s="4" t="s">
        <v>29</v>
      </c>
      <c r="B6" s="5" t="s">
        <v>30</v>
      </c>
      <c r="C6" s="6">
        <v>0.03389</v>
      </c>
      <c r="D6" s="7">
        <f>IF(C6&gt;0,IF(实验设置!$B$9&gt;0,实验设置!$B$9/C6,""),"")</f>
        <v>699.321333726763</v>
      </c>
      <c r="E6" s="5"/>
      <c r="F6" s="5"/>
      <c r="G6" s="8" t="s">
        <v>31</v>
      </c>
    </row>
    <row r="7" ht="24" customHeight="1" spans="1:7">
      <c r="A7" s="4" t="s">
        <v>32</v>
      </c>
      <c r="B7" s="5" t="s">
        <v>33</v>
      </c>
      <c r="C7" s="6">
        <v>0.03365</v>
      </c>
      <c r="D7" s="7">
        <f>IF(C7&gt;0,IF(实验设置!$B$9&gt;0,实验设置!$B$9/C7,""),"")</f>
        <v>704.309063893016</v>
      </c>
      <c r="E7" s="5"/>
      <c r="F7" s="5"/>
      <c r="G7" s="8" t="s">
        <v>31</v>
      </c>
    </row>
    <row r="8" ht="24" customHeight="1" spans="1:7">
      <c r="A8" s="4" t="s">
        <v>34</v>
      </c>
      <c r="B8" s="5" t="s">
        <v>35</v>
      </c>
      <c r="C8" s="6">
        <v>0.03328</v>
      </c>
      <c r="D8" s="7">
        <f>IF(C8&gt;0,IF(实验设置!$B$9&gt;0,实验设置!$B$9/C8,""),"")</f>
        <v>712.139423076923</v>
      </c>
      <c r="E8" s="5"/>
      <c r="F8" s="5"/>
      <c r="G8" s="8" t="s">
        <v>31</v>
      </c>
    </row>
    <row r="9" ht="24" customHeight="1" spans="1:7">
      <c r="A9" s="4" t="s">
        <v>36</v>
      </c>
      <c r="B9" s="5" t="s">
        <v>37</v>
      </c>
      <c r="C9" s="6">
        <v>0.03344</v>
      </c>
      <c r="D9" s="7">
        <f>IF(C9&gt;0,IF(实验设置!$B$9&gt;0,实验设置!$B$9/C9,""),"")</f>
        <v>708.732057416268</v>
      </c>
      <c r="E9" s="5"/>
      <c r="F9" s="5"/>
      <c r="G9" s="8" t="s">
        <v>31</v>
      </c>
    </row>
    <row r="10" ht="24" customHeight="1" spans="1:7">
      <c r="A10" s="4" t="s">
        <v>38</v>
      </c>
      <c r="B10" s="5" t="s">
        <v>39</v>
      </c>
      <c r="C10" s="6">
        <v>0.03384</v>
      </c>
      <c r="D10" s="7">
        <f>IF(C10&gt;0,IF(实验设置!$B$9&gt;0,实验设置!$B$9/C10,""),"")</f>
        <v>700.354609929078</v>
      </c>
      <c r="E10" s="5"/>
      <c r="F10" s="5"/>
      <c r="G10" s="8" t="s">
        <v>31</v>
      </c>
    </row>
    <row r="11" ht="24" customHeight="1" spans="1:7">
      <c r="A11" s="4" t="s">
        <v>40</v>
      </c>
      <c r="B11" s="5" t="s">
        <v>41</v>
      </c>
      <c r="C11" s="6">
        <v>0.03372</v>
      </c>
      <c r="D11" s="7"/>
      <c r="E11" s="8" t="s">
        <v>42</v>
      </c>
      <c r="F11" s="8" t="s">
        <v>43</v>
      </c>
      <c r="G11" s="8" t="s">
        <v>31</v>
      </c>
    </row>
    <row r="12" ht="24" customHeight="1" spans="1:7">
      <c r="A12" s="4" t="s">
        <v>44</v>
      </c>
      <c r="B12" s="5" t="s">
        <v>45</v>
      </c>
      <c r="C12" s="6">
        <v>0.034</v>
      </c>
      <c r="D12" s="7"/>
      <c r="E12" s="8" t="s">
        <v>42</v>
      </c>
      <c r="F12" s="8" t="s">
        <v>43</v>
      </c>
      <c r="G12" s="8" t="s">
        <v>31</v>
      </c>
    </row>
    <row r="13" ht="24" customHeight="1" spans="1:7">
      <c r="A13" s="4" t="s">
        <v>46</v>
      </c>
      <c r="B13" s="5" t="s">
        <v>47</v>
      </c>
      <c r="C13" s="6">
        <v>0.03391</v>
      </c>
      <c r="D13" s="7"/>
      <c r="E13" s="8" t="s">
        <v>42</v>
      </c>
      <c r="F13" s="8" t="s">
        <v>43</v>
      </c>
      <c r="G13" s="8" t="s">
        <v>31</v>
      </c>
    </row>
    <row r="14" ht="24" customHeight="1" spans="1:7">
      <c r="A14" s="4" t="s">
        <v>48</v>
      </c>
      <c r="B14" s="5" t="s">
        <v>49</v>
      </c>
      <c r="C14" s="6">
        <v>0.03445</v>
      </c>
      <c r="D14" s="7"/>
      <c r="E14" s="8" t="s">
        <v>42</v>
      </c>
      <c r="F14" s="8" t="s">
        <v>43</v>
      </c>
      <c r="G14" s="8" t="s">
        <v>31</v>
      </c>
    </row>
    <row r="15" ht="24" customHeight="1" spans="1:7">
      <c r="A15" s="4" t="s">
        <v>50</v>
      </c>
      <c r="B15" s="5" t="s">
        <v>51</v>
      </c>
      <c r="C15" s="6">
        <v>0.03377</v>
      </c>
      <c r="D15" s="7"/>
      <c r="E15" s="8" t="s">
        <v>42</v>
      </c>
      <c r="F15" s="8" t="s">
        <v>43</v>
      </c>
      <c r="G15" s="8" t="s">
        <v>31</v>
      </c>
    </row>
    <row r="16" ht="24" customHeight="1" spans="1:7">
      <c r="A16" s="4" t="s">
        <v>52</v>
      </c>
      <c r="B16" s="5" t="s">
        <v>53</v>
      </c>
      <c r="C16" s="6">
        <v>0.02522</v>
      </c>
      <c r="D16" s="7"/>
      <c r="E16" s="5"/>
      <c r="F16" s="5"/>
      <c r="G16" s="8" t="s">
        <v>54</v>
      </c>
    </row>
    <row r="17" ht="24" customHeight="1" spans="1:7">
      <c r="A17" s="4" t="s">
        <v>55</v>
      </c>
      <c r="B17" s="5" t="s">
        <v>56</v>
      </c>
      <c r="C17" s="6">
        <v>0.02537</v>
      </c>
      <c r="D17" s="7"/>
      <c r="E17" s="5"/>
      <c r="F17" s="5"/>
      <c r="G17" s="8" t="s">
        <v>54</v>
      </c>
    </row>
    <row r="18" ht="24" customHeight="1" spans="1:7">
      <c r="A18" s="4" t="s">
        <v>57</v>
      </c>
      <c r="B18" s="5" t="s">
        <v>58</v>
      </c>
      <c r="C18" s="6">
        <v>0.0255</v>
      </c>
      <c r="D18" s="7"/>
      <c r="E18" s="5"/>
      <c r="F18" s="5"/>
      <c r="G18" s="8" t="s">
        <v>54</v>
      </c>
    </row>
    <row r="19" ht="24" customHeight="1" spans="1:7">
      <c r="A19" s="4" t="s">
        <v>59</v>
      </c>
      <c r="B19" s="5" t="s">
        <v>60</v>
      </c>
      <c r="C19" s="6">
        <v>0.0254</v>
      </c>
      <c r="D19" s="7"/>
      <c r="E19" s="5"/>
      <c r="F19" s="5"/>
      <c r="G19" s="8" t="s">
        <v>54</v>
      </c>
    </row>
    <row r="20" ht="24" customHeight="1" spans="1:7">
      <c r="A20" s="4" t="s">
        <v>61</v>
      </c>
      <c r="B20" s="5" t="s">
        <v>62</v>
      </c>
      <c r="C20" s="6">
        <v>0.02544</v>
      </c>
      <c r="D20" s="7"/>
      <c r="E20" s="5"/>
      <c r="F20" s="5"/>
      <c r="G20" s="8" t="s">
        <v>54</v>
      </c>
    </row>
    <row r="21" ht="24" customHeight="1" spans="1:7">
      <c r="A21" s="4" t="s">
        <v>63</v>
      </c>
      <c r="B21" s="5" t="s">
        <v>64</v>
      </c>
      <c r="C21" s="6">
        <v>0.02537</v>
      </c>
      <c r="D21" s="7"/>
      <c r="E21" s="8" t="s">
        <v>42</v>
      </c>
      <c r="F21" s="8" t="s">
        <v>43</v>
      </c>
      <c r="G21" s="8" t="s">
        <v>54</v>
      </c>
    </row>
    <row r="22" ht="24" customHeight="1" spans="1:7">
      <c r="A22" s="4" t="s">
        <v>65</v>
      </c>
      <c r="B22" s="5" t="s">
        <v>66</v>
      </c>
      <c r="C22" s="6">
        <v>0.02533</v>
      </c>
      <c r="D22" s="7"/>
      <c r="E22" s="8" t="s">
        <v>42</v>
      </c>
      <c r="F22" s="8" t="s">
        <v>43</v>
      </c>
      <c r="G22" s="8" t="s">
        <v>54</v>
      </c>
    </row>
    <row r="23" ht="24" customHeight="1" spans="1:7">
      <c r="A23" s="4" t="s">
        <v>67</v>
      </c>
      <c r="B23" s="5" t="s">
        <v>68</v>
      </c>
      <c r="C23" s="6">
        <v>0.02537</v>
      </c>
      <c r="D23" s="7"/>
      <c r="E23" s="8" t="s">
        <v>42</v>
      </c>
      <c r="F23" s="8" t="s">
        <v>43</v>
      </c>
      <c r="G23" s="8" t="s">
        <v>54</v>
      </c>
    </row>
    <row r="24" ht="24" customHeight="1" spans="1:7">
      <c r="A24" s="4" t="s">
        <v>69</v>
      </c>
      <c r="B24" s="5" t="s">
        <v>70</v>
      </c>
      <c r="C24" s="6">
        <v>0.0254</v>
      </c>
      <c r="D24" s="7"/>
      <c r="E24" s="8" t="s">
        <v>42</v>
      </c>
      <c r="F24" s="8" t="s">
        <v>43</v>
      </c>
      <c r="G24" s="8" t="s">
        <v>54</v>
      </c>
    </row>
    <row r="25" ht="24" customHeight="1" spans="1:7">
      <c r="A25" s="4" t="s">
        <v>71</v>
      </c>
      <c r="B25" s="5" t="s">
        <v>72</v>
      </c>
      <c r="C25" s="6">
        <v>0.02533</v>
      </c>
      <c r="D25" s="7"/>
      <c r="E25" s="8" t="s">
        <v>42</v>
      </c>
      <c r="F25" s="8" t="s">
        <v>43</v>
      </c>
      <c r="G25" s="8" t="s">
        <v>54</v>
      </c>
    </row>
    <row r="26" ht="24" customHeight="1" spans="1:7">
      <c r="A26" s="4" t="s">
        <v>73</v>
      </c>
      <c r="B26" s="5" t="s">
        <v>74</v>
      </c>
      <c r="C26" s="6">
        <v>0.02139</v>
      </c>
      <c r="D26" s="7">
        <f>IF(C26&gt;0,IF(实验设置!$B$9&gt;0,实验设置!$B$9/C26,""),"")</f>
        <v>1107.99438990182</v>
      </c>
      <c r="E26" s="5"/>
      <c r="F26" s="5"/>
      <c r="G26" s="8" t="s">
        <v>75</v>
      </c>
    </row>
    <row r="27" ht="24" customHeight="1" spans="1:7">
      <c r="A27" s="4" t="s">
        <v>76</v>
      </c>
      <c r="B27" s="5" t="s">
        <v>77</v>
      </c>
      <c r="C27" s="6">
        <v>0.02138</v>
      </c>
      <c r="D27" s="7">
        <f>IF(C27&gt;0,IF(实验设置!$B$9&gt;0,实验设置!$B$9/C27,""),"")</f>
        <v>1108.51262862488</v>
      </c>
      <c r="E27" s="5"/>
      <c r="F27" s="5"/>
      <c r="G27" s="8" t="s">
        <v>75</v>
      </c>
    </row>
    <row r="28" ht="24" customHeight="1" spans="1:7">
      <c r="A28" s="4" t="s">
        <v>78</v>
      </c>
      <c r="B28" s="5" t="s">
        <v>79</v>
      </c>
      <c r="C28" s="6">
        <v>0.02145</v>
      </c>
      <c r="D28" s="7">
        <f>IF(C28&gt;0,IF(实验设置!$B$9&gt;0,实验设置!$B$9/C28,""),"")</f>
        <v>1104.8951048951</v>
      </c>
      <c r="E28" s="5"/>
      <c r="F28" s="5"/>
      <c r="G28" s="8" t="s">
        <v>75</v>
      </c>
    </row>
    <row r="29" ht="24" customHeight="1" spans="1:7">
      <c r="A29" s="4" t="s">
        <v>80</v>
      </c>
      <c r="B29" s="5" t="s">
        <v>81</v>
      </c>
      <c r="C29" s="6">
        <v>0.02153</v>
      </c>
      <c r="D29" s="7">
        <f>IF(C29&gt;0,IF(实验设置!$B$9&gt;0,实验设置!$B$9/C29,""),"")</f>
        <v>1100.78959591268</v>
      </c>
      <c r="E29" s="5"/>
      <c r="F29" s="5"/>
      <c r="G29" s="8" t="s">
        <v>75</v>
      </c>
    </row>
    <row r="30" ht="24" customHeight="1" spans="1:7">
      <c r="A30" s="4" t="s">
        <v>82</v>
      </c>
      <c r="B30" s="5" t="s">
        <v>83</v>
      </c>
      <c r="C30" s="6">
        <v>0.02146</v>
      </c>
      <c r="D30" s="7">
        <f>IF(C30&gt;0,IF(实验设置!$B$9&gt;0,实验设置!$B$9/C30,""),"")</f>
        <v>1104.38024231128</v>
      </c>
      <c r="E30" s="5"/>
      <c r="F30" s="5"/>
      <c r="G30" s="8" t="s">
        <v>75</v>
      </c>
    </row>
    <row r="31" ht="24" customHeight="1" spans="1:7">
      <c r="A31" s="4" t="s">
        <v>84</v>
      </c>
      <c r="B31" s="5" t="s">
        <v>85</v>
      </c>
      <c r="C31" s="6">
        <v>0.02152</v>
      </c>
      <c r="D31" s="7"/>
      <c r="E31" s="8" t="s">
        <v>42</v>
      </c>
      <c r="F31" s="8" t="s">
        <v>43</v>
      </c>
      <c r="G31" s="8" t="s">
        <v>75</v>
      </c>
    </row>
    <row r="32" ht="24" customHeight="1" spans="1:7">
      <c r="A32" s="4" t="s">
        <v>86</v>
      </c>
      <c r="B32" s="5" t="s">
        <v>87</v>
      </c>
      <c r="C32" s="6">
        <v>0.0215</v>
      </c>
      <c r="D32" s="7"/>
      <c r="E32" s="8" t="s">
        <v>42</v>
      </c>
      <c r="F32" s="8" t="s">
        <v>43</v>
      </c>
      <c r="G32" s="8" t="s">
        <v>75</v>
      </c>
    </row>
    <row r="33" ht="24" customHeight="1" spans="1:7">
      <c r="A33" s="4" t="s">
        <v>88</v>
      </c>
      <c r="B33" s="5" t="s">
        <v>89</v>
      </c>
      <c r="C33" s="6">
        <v>0.02148</v>
      </c>
      <c r="D33" s="7"/>
      <c r="E33" s="8" t="s">
        <v>42</v>
      </c>
      <c r="F33" s="8" t="s">
        <v>43</v>
      </c>
      <c r="G33" s="8" t="s">
        <v>75</v>
      </c>
    </row>
    <row r="34" ht="24" customHeight="1" spans="1:7">
      <c r="A34" s="4" t="s">
        <v>90</v>
      </c>
      <c r="B34" s="5" t="s">
        <v>91</v>
      </c>
      <c r="C34" s="6">
        <v>0.02149</v>
      </c>
      <c r="D34" s="7"/>
      <c r="E34" s="8" t="s">
        <v>42</v>
      </c>
      <c r="F34" s="8" t="s">
        <v>43</v>
      </c>
      <c r="G34" s="8" t="s">
        <v>75</v>
      </c>
    </row>
    <row r="35" ht="24" customHeight="1" spans="1:7">
      <c r="A35" s="4" t="s">
        <v>92</v>
      </c>
      <c r="B35" s="5" t="s">
        <v>93</v>
      </c>
      <c r="C35" s="6">
        <v>0.02147</v>
      </c>
      <c r="D35" s="7"/>
      <c r="E35" s="8" t="s">
        <v>42</v>
      </c>
      <c r="F35" s="8" t="s">
        <v>43</v>
      </c>
      <c r="G35" s="8" t="s">
        <v>75</v>
      </c>
    </row>
    <row r="36" ht="24" customHeight="1" spans="1:7">
      <c r="A36" s="4" t="s">
        <v>94</v>
      </c>
      <c r="B36" s="5"/>
      <c r="C36" s="9"/>
      <c r="D36" s="7" t="str">
        <f>IF(C36&gt;0,IF(实验设置!$B$9&gt;0,实验设置!$B$9/C36,""),"")</f>
        <v/>
      </c>
      <c r="E36" s="5"/>
      <c r="F36" s="5"/>
      <c r="G36" s="8"/>
    </row>
    <row r="37" ht="24" customHeight="1" spans="1:7">
      <c r="A37" s="4" t="s">
        <v>95</v>
      </c>
      <c r="B37" s="5"/>
      <c r="C37" s="9"/>
      <c r="D37" s="7" t="str">
        <f>IF(C37&gt;0,IF(实验设置!$B$9&gt;0,实验设置!$B$9/C37,""),"")</f>
        <v/>
      </c>
      <c r="E37" s="5"/>
      <c r="F37" s="5"/>
      <c r="G37" s="8"/>
    </row>
    <row r="38" ht="24" customHeight="1" spans="1:7">
      <c r="A38" s="4" t="s">
        <v>96</v>
      </c>
      <c r="B38" s="5"/>
      <c r="C38" s="9"/>
      <c r="D38" s="7" t="str">
        <f>IF(C38&gt;0,IF(实验设置!$B$9&gt;0,实验设置!$B$9/C38,""),"")</f>
        <v/>
      </c>
      <c r="E38" s="5"/>
      <c r="F38" s="5"/>
      <c r="G38" s="8"/>
    </row>
    <row r="39" ht="24" customHeight="1" spans="1:7">
      <c r="A39" s="4" t="s">
        <v>97</v>
      </c>
      <c r="B39" s="5"/>
      <c r="C39" s="9"/>
      <c r="D39" s="7" t="str">
        <f>IF(C39&gt;0,IF(实验设置!$B$9&gt;0,实验设置!$B$9/C39,""),"")</f>
        <v/>
      </c>
      <c r="E39" s="5"/>
      <c r="F39" s="5"/>
      <c r="G39" s="8"/>
    </row>
    <row r="40" ht="24" customHeight="1" spans="1:7">
      <c r="A40" s="4" t="s">
        <v>98</v>
      </c>
      <c r="B40" s="5"/>
      <c r="C40" s="9"/>
      <c r="D40" s="7" t="str">
        <f>IF(C40&gt;0,IF(实验设置!$B$9&gt;0,实验设置!$B$9/C40,""),"")</f>
        <v/>
      </c>
      <c r="E40" s="5"/>
      <c r="F40" s="5"/>
      <c r="G40" s="8"/>
    </row>
    <row r="41" ht="24" customHeight="1" spans="1:7">
      <c r="A41" s="4" t="s">
        <v>99</v>
      </c>
      <c r="B41" s="5"/>
      <c r="C41" s="9"/>
      <c r="D41" s="7"/>
      <c r="E41" s="5"/>
      <c r="F41" s="5"/>
      <c r="G41" s="8"/>
    </row>
    <row r="42" ht="24" customHeight="1" spans="1:7">
      <c r="A42" s="4" t="s">
        <v>100</v>
      </c>
      <c r="B42" s="5"/>
      <c r="C42" s="9"/>
      <c r="D42" s="7"/>
      <c r="E42" s="5"/>
      <c r="F42" s="5"/>
      <c r="G42" s="8"/>
    </row>
    <row r="43" ht="24" customHeight="1" spans="1:7">
      <c r="A43" s="4" t="s">
        <v>101</v>
      </c>
      <c r="B43" s="5"/>
      <c r="C43" s="9"/>
      <c r="D43" s="7"/>
      <c r="E43" s="5"/>
      <c r="F43" s="5"/>
      <c r="G43" s="8"/>
    </row>
    <row r="44" ht="24" customHeight="1" spans="1:7">
      <c r="A44" s="4" t="s">
        <v>102</v>
      </c>
      <c r="B44" s="5"/>
      <c r="C44" s="9"/>
      <c r="D44" s="7"/>
      <c r="E44" s="5"/>
      <c r="F44" s="5"/>
      <c r="G44" s="8"/>
    </row>
    <row r="45" ht="24" customHeight="1" spans="1:7">
      <c r="A45" s="4" t="s">
        <v>103</v>
      </c>
      <c r="B45" s="5"/>
      <c r="C45" s="9"/>
      <c r="D45" s="7"/>
      <c r="E45" s="5"/>
      <c r="F45" s="5"/>
      <c r="G45" s="8"/>
    </row>
    <row r="46" ht="24" customHeight="1" spans="1:7">
      <c r="A46" s="4" t="s">
        <v>104</v>
      </c>
      <c r="B46" s="5"/>
      <c r="C46" s="9"/>
      <c r="D46" s="7" t="str">
        <f>IF(C46&gt;0,IF(实验设置!$B$9&gt;0,实验设置!$B$9/C46,""),"")</f>
        <v/>
      </c>
      <c r="E46" s="5"/>
      <c r="F46" s="5"/>
      <c r="G46" s="8"/>
    </row>
    <row r="47" ht="24" customHeight="1" spans="1:7">
      <c r="A47" s="4" t="s">
        <v>105</v>
      </c>
      <c r="B47" s="5"/>
      <c r="C47" s="9"/>
      <c r="D47" s="7" t="str">
        <f>IF(C47&gt;0,IF(实验设置!$B$9&gt;0,实验设置!$B$9/C47,""),"")</f>
        <v/>
      </c>
      <c r="E47" s="5"/>
      <c r="F47" s="5"/>
      <c r="G47" s="8"/>
    </row>
    <row r="48" ht="24" customHeight="1" spans="1:7">
      <c r="A48" s="4" t="s">
        <v>106</v>
      </c>
      <c r="B48" s="5"/>
      <c r="C48" s="9"/>
      <c r="D48" s="7" t="str">
        <f>IF(C48&gt;0,IF(实验设置!$B$9&gt;0,实验设置!$B$9/C48,""),"")</f>
        <v/>
      </c>
      <c r="E48" s="5"/>
      <c r="F48" s="5"/>
      <c r="G48" s="8"/>
    </row>
    <row r="49" ht="24" customHeight="1" spans="1:7">
      <c r="A49" s="4" t="s">
        <v>107</v>
      </c>
      <c r="B49" s="5"/>
      <c r="C49" s="9"/>
      <c r="D49" s="7" t="str">
        <f>IF(C49&gt;0,IF(实验设置!$B$9&gt;0,实验设置!$B$9/C49,""),"")</f>
        <v/>
      </c>
      <c r="E49" s="5"/>
      <c r="F49" s="5"/>
      <c r="G49" s="8"/>
    </row>
    <row r="50" ht="24" customHeight="1" spans="1:7">
      <c r="A50" s="4" t="s">
        <v>108</v>
      </c>
      <c r="B50" s="5"/>
      <c r="C50" s="9"/>
      <c r="D50" s="7" t="str">
        <f>IF(C50&gt;0,IF(实验设置!$B$9&gt;0,实验设置!$B$9/C50,""),"")</f>
        <v/>
      </c>
      <c r="E50" s="5"/>
      <c r="F50" s="5"/>
      <c r="G50" s="8"/>
    </row>
    <row r="51" ht="24" customHeight="1" spans="1:7">
      <c r="A51" s="4" t="s">
        <v>109</v>
      </c>
      <c r="B51" s="5"/>
      <c r="C51" s="9"/>
      <c r="D51" s="7"/>
      <c r="E51" s="5"/>
      <c r="F51" s="5"/>
      <c r="G51" s="8"/>
    </row>
    <row r="52" ht="24" customHeight="1" spans="1:7">
      <c r="A52" s="4" t="s">
        <v>110</v>
      </c>
      <c r="B52" s="5"/>
      <c r="C52" s="9"/>
      <c r="D52" s="7"/>
      <c r="E52" s="5"/>
      <c r="F52" s="5"/>
      <c r="G52" s="8"/>
    </row>
    <row r="53" ht="24" customHeight="1" spans="1:7">
      <c r="A53" s="4" t="s">
        <v>111</v>
      </c>
      <c r="B53" s="5"/>
      <c r="C53" s="9"/>
      <c r="D53" s="7"/>
      <c r="E53" s="5"/>
      <c r="F53" s="5"/>
      <c r="G53" s="8"/>
    </row>
    <row r="54" ht="24" customHeight="1" spans="1:7">
      <c r="A54" s="4" t="s">
        <v>112</v>
      </c>
      <c r="B54" s="5"/>
      <c r="C54" s="9"/>
      <c r="D54" s="7"/>
      <c r="E54" s="5"/>
      <c r="F54" s="5"/>
      <c r="G54" s="8"/>
    </row>
    <row r="55" ht="24" customHeight="1" spans="1:7">
      <c r="A55" s="4" t="s">
        <v>113</v>
      </c>
      <c r="B55" s="5"/>
      <c r="C55" s="9"/>
      <c r="D55" s="7"/>
      <c r="E55" s="5"/>
      <c r="F55" s="5"/>
      <c r="G55" s="8"/>
    </row>
    <row r="56" ht="24" customHeight="1" spans="1:7">
      <c r="A56" s="4" t="s">
        <v>114</v>
      </c>
      <c r="B56" s="5"/>
      <c r="C56" s="9"/>
      <c r="D56" s="7"/>
      <c r="E56" s="5"/>
      <c r="F56" s="5"/>
      <c r="G56" s="8"/>
    </row>
    <row r="57" ht="24" customHeight="1" spans="1:7">
      <c r="A57" s="4" t="s">
        <v>115</v>
      </c>
      <c r="B57" s="5"/>
      <c r="C57" s="9"/>
      <c r="D57" s="7" t="str">
        <f>IF(C57&gt;0,IF(实验设置!$B$9&gt;0,实验设置!$B$9/C57,""),"")</f>
        <v/>
      </c>
      <c r="E57" s="5"/>
      <c r="F57" s="5"/>
      <c r="G57" s="8"/>
    </row>
    <row r="58" ht="24" customHeight="1" spans="1:7">
      <c r="A58" s="4" t="s">
        <v>116</v>
      </c>
      <c r="B58" s="5"/>
      <c r="C58" s="9"/>
      <c r="D58" s="7" t="str">
        <f>IF(C58&gt;0,IF(实验设置!$B$9&gt;0,实验设置!$B$9/C58,""),"")</f>
        <v/>
      </c>
      <c r="E58" s="5"/>
      <c r="F58" s="5"/>
      <c r="G58" s="8"/>
    </row>
    <row r="59" ht="24" customHeight="1" spans="1:7">
      <c r="A59" s="4" t="s">
        <v>117</v>
      </c>
      <c r="B59" s="5"/>
      <c r="C59" s="9"/>
      <c r="D59" s="7" t="str">
        <f>IF(C59&gt;0,IF(实验设置!$B$9&gt;0,实验设置!$B$9/C59,""),"")</f>
        <v/>
      </c>
      <c r="E59" s="5"/>
      <c r="F59" s="5"/>
      <c r="G59" s="8"/>
    </row>
    <row r="60" ht="24" customHeight="1" spans="1:7">
      <c r="A60" s="4" t="s">
        <v>118</v>
      </c>
      <c r="B60" s="5"/>
      <c r="C60" s="9"/>
      <c r="D60" s="7" t="str">
        <f>IF(C60&gt;0,IF(实验设置!$B$9&gt;0,实验设置!$B$9/C60,""),"")</f>
        <v/>
      </c>
      <c r="E60" s="5"/>
      <c r="F60" s="5"/>
      <c r="G60" s="8"/>
    </row>
    <row r="61" ht="24" customHeight="1" spans="1:7">
      <c r="A61" s="4" t="s">
        <v>119</v>
      </c>
      <c r="B61" s="5"/>
      <c r="C61" s="9"/>
      <c r="D61" s="7" t="str">
        <f>IF(C61&gt;0,IF(实验设置!$B$9&gt;0,实验设置!$B$9/C61,""),"")</f>
        <v/>
      </c>
      <c r="E61" s="5"/>
      <c r="F61" s="5"/>
      <c r="G61" s="8"/>
    </row>
    <row r="62" ht="24" customHeight="1" spans="1:7">
      <c r="A62" s="4" t="s">
        <v>120</v>
      </c>
      <c r="B62" s="5"/>
      <c r="C62" s="9"/>
      <c r="D62" s="7"/>
      <c r="E62" s="5"/>
      <c r="F62" s="5"/>
      <c r="G62" s="8"/>
    </row>
    <row r="63" ht="24" customHeight="1" spans="1:7">
      <c r="A63" s="4" t="s">
        <v>121</v>
      </c>
      <c r="B63" s="5"/>
      <c r="C63" s="9"/>
      <c r="D63" s="7"/>
      <c r="E63" s="5"/>
      <c r="F63" s="5"/>
      <c r="G63" s="8"/>
    </row>
    <row r="64" ht="24" customHeight="1" spans="1:7">
      <c r="A64" s="4" t="s">
        <v>122</v>
      </c>
      <c r="B64" s="5"/>
      <c r="C64" s="9"/>
      <c r="D64" s="7"/>
      <c r="E64" s="5"/>
      <c r="F64" s="5"/>
      <c r="G64" s="8"/>
    </row>
    <row r="65" ht="24" customHeight="1" spans="1:7">
      <c r="A65" s="4" t="s">
        <v>123</v>
      </c>
      <c r="B65" s="5"/>
      <c r="C65" s="9"/>
      <c r="D65" s="7"/>
      <c r="E65" s="5"/>
      <c r="F65" s="5"/>
      <c r="G65" s="8"/>
    </row>
    <row r="66" spans="1:7">
      <c r="A66" s="4" t="s">
        <v>124</v>
      </c>
      <c r="B66" s="5"/>
      <c r="C66" s="9"/>
      <c r="D66" s="7"/>
      <c r="E66" s="5"/>
      <c r="F66" s="5"/>
      <c r="G66" s="8"/>
    </row>
    <row r="67" spans="1:7">
      <c r="A67" s="4" t="s">
        <v>125</v>
      </c>
      <c r="B67" s="5"/>
      <c r="C67" s="9"/>
      <c r="D67" s="7" t="str">
        <f>IF(C67&gt;0,IF(实验设置!$B$9&gt;0,实验设置!$B$9/C67,""),"")</f>
        <v/>
      </c>
      <c r="E67" s="5"/>
      <c r="F67" s="5"/>
      <c r="G67" s="8"/>
    </row>
    <row r="68" spans="1:7">
      <c r="A68" s="4" t="s">
        <v>126</v>
      </c>
      <c r="B68" s="5"/>
      <c r="C68" s="9"/>
      <c r="D68" s="7" t="str">
        <f>IF(C68&gt;0,IF(实验设置!$B$9&gt;0,实验设置!$B$9/C68,""),"")</f>
        <v/>
      </c>
      <c r="E68" s="5"/>
      <c r="F68" s="5"/>
      <c r="G68" s="8"/>
    </row>
    <row r="69" spans="1:7">
      <c r="A69" s="4" t="s">
        <v>127</v>
      </c>
      <c r="B69" s="5"/>
      <c r="C69" s="9"/>
      <c r="D69" s="7" t="str">
        <f>IF(C69&gt;0,IF(实验设置!$B$9&gt;0,实验设置!$B$9/C69,""),"")</f>
        <v/>
      </c>
      <c r="E69" s="5"/>
      <c r="F69" s="5"/>
      <c r="G69" s="8"/>
    </row>
    <row r="70" spans="1:7">
      <c r="A70" s="4" t="s">
        <v>128</v>
      </c>
      <c r="B70" s="5"/>
      <c r="C70" s="9"/>
      <c r="D70" s="7" t="str">
        <f>IF(C70&gt;0,IF(实验设置!$B$9&gt;0,实验设置!$B$9/C70,""),"")</f>
        <v/>
      </c>
      <c r="E70" s="5"/>
      <c r="F70" s="5"/>
      <c r="G70" s="8"/>
    </row>
    <row r="71" spans="1:7">
      <c r="A71" s="4" t="s">
        <v>129</v>
      </c>
      <c r="B71" s="5"/>
      <c r="C71" s="9"/>
      <c r="D71" s="7" t="str">
        <f>IF(C71&gt;0,IF(实验设置!$B$9&gt;0,实验设置!$B$9/C71,""),"")</f>
        <v/>
      </c>
      <c r="E71" s="5"/>
      <c r="F71" s="5"/>
      <c r="G71" s="8"/>
    </row>
    <row r="72" spans="1:7">
      <c r="A72" s="4" t="s">
        <v>130</v>
      </c>
      <c r="B72" s="5"/>
      <c r="C72" s="9"/>
      <c r="D72" s="7" t="str">
        <f>IF(C72&gt;0,IF(实验设置!$B$9&gt;0,实验设置!$B$9/C72,""),"")</f>
        <v/>
      </c>
      <c r="E72" s="5"/>
      <c r="F72" s="5"/>
      <c r="G72" s="8"/>
    </row>
    <row r="73" spans="1:7">
      <c r="A73" s="4" t="s">
        <v>131</v>
      </c>
      <c r="B73" s="5"/>
      <c r="C73" s="9"/>
      <c r="D73" s="7" t="str">
        <f>IF(C73&gt;0,IF(实验设置!$B$9&gt;0,实验设置!$B$9/C73,""),"")</f>
        <v/>
      </c>
      <c r="E73" s="5"/>
      <c r="F73" s="5"/>
      <c r="G73" s="8"/>
    </row>
    <row r="74" spans="1:7">
      <c r="A74" s="4" t="s">
        <v>132</v>
      </c>
      <c r="B74" s="5"/>
      <c r="C74" s="9"/>
      <c r="D74" s="7" t="str">
        <f>IF(C74&gt;0,IF(实验设置!$B$9&gt;0,实验设置!$B$9/C74,""),"")</f>
        <v/>
      </c>
      <c r="E74" s="5"/>
      <c r="F74" s="5"/>
      <c r="G74" s="8"/>
    </row>
    <row r="75" spans="1:7">
      <c r="A75" s="4" t="s">
        <v>133</v>
      </c>
      <c r="B75" s="5"/>
      <c r="C75" s="9"/>
      <c r="D75" s="7" t="str">
        <f>IF(C75&gt;0,IF(实验设置!$B$9&gt;0,实验设置!$B$9/C75,""),"")</f>
        <v/>
      </c>
      <c r="E75" s="5"/>
      <c r="F75" s="5"/>
      <c r="G75" s="8"/>
    </row>
    <row r="76" spans="1:7">
      <c r="A76" s="4" t="s">
        <v>134</v>
      </c>
      <c r="B76" s="5"/>
      <c r="C76" s="9"/>
      <c r="D76" s="7" t="str">
        <f>IF(C76&gt;0,IF(实验设置!$B$9&gt;0,实验设置!$B$9/C76,""),"")</f>
        <v/>
      </c>
      <c r="E76" s="5"/>
      <c r="F76" s="5"/>
      <c r="G76" s="8"/>
    </row>
    <row r="77" spans="1:7">
      <c r="A77" s="4" t="s">
        <v>135</v>
      </c>
      <c r="B77" s="5"/>
      <c r="C77" s="9"/>
      <c r="D77" s="7" t="str">
        <f>IF(C77&gt;0,IF(实验设置!$B$9&gt;0,实验设置!$B$9/C77,""),"")</f>
        <v/>
      </c>
      <c r="E77" s="5"/>
      <c r="F77" s="5"/>
      <c r="G77" s="8"/>
    </row>
    <row r="78" spans="1:7">
      <c r="A78" s="4" t="s">
        <v>136</v>
      </c>
      <c r="B78" s="5"/>
      <c r="C78" s="9"/>
      <c r="D78" s="7" t="str">
        <f>IF(C78&gt;0,IF(实验设置!$B$9&gt;0,实验设置!$B$9/C78,""),"")</f>
        <v/>
      </c>
      <c r="E78" s="5"/>
      <c r="F78" s="5"/>
      <c r="G78" s="8"/>
    </row>
    <row r="79" spans="1:7">
      <c r="A79" s="4" t="s">
        <v>137</v>
      </c>
      <c r="B79" s="5"/>
      <c r="C79" s="9"/>
      <c r="D79" s="7" t="str">
        <f>IF(C79&gt;0,IF(实验设置!$B$9&gt;0,实验设置!$B$9/C79,""),"")</f>
        <v/>
      </c>
      <c r="E79" s="5"/>
      <c r="F79" s="5"/>
      <c r="G79" s="8"/>
    </row>
    <row r="80" spans="1:7">
      <c r="A80" s="4" t="s">
        <v>138</v>
      </c>
      <c r="B80" s="5"/>
      <c r="C80" s="9"/>
      <c r="D80" s="7" t="str">
        <f>IF(C80&gt;0,IF(实验设置!$B$9&gt;0,实验设置!$B$9/C80,""),"")</f>
        <v/>
      </c>
      <c r="E80" s="5"/>
      <c r="F80" s="5"/>
      <c r="G80" s="8"/>
    </row>
    <row r="81" spans="1:7">
      <c r="A81" s="4" t="s">
        <v>139</v>
      </c>
      <c r="B81" s="5"/>
      <c r="C81" s="9"/>
      <c r="D81" s="7" t="str">
        <f>IF(C81&gt;0,IF(实验设置!$B$9&gt;0,实验设置!$B$9/C81,""),"")</f>
        <v/>
      </c>
      <c r="E81" s="5"/>
      <c r="F81" s="5"/>
      <c r="G81" s="8"/>
    </row>
    <row r="82" spans="1:7">
      <c r="A82" s="4" t="s">
        <v>140</v>
      </c>
      <c r="B82" s="5"/>
      <c r="C82" s="9"/>
      <c r="D82" s="7" t="str">
        <f>IF(C82&gt;0,IF(实验设置!$B$9&gt;0,实验设置!$B$9/C82,""),"")</f>
        <v/>
      </c>
      <c r="E82" s="5"/>
      <c r="F82" s="5"/>
      <c r="G82" s="8"/>
    </row>
    <row r="83" spans="1:7">
      <c r="A83" s="4" t="s">
        <v>141</v>
      </c>
      <c r="B83" s="5"/>
      <c r="C83" s="9"/>
      <c r="D83" s="7" t="str">
        <f>IF(C83&gt;0,IF(实验设置!$B$9&gt;0,实验设置!$B$9/C83,""),"")</f>
        <v/>
      </c>
      <c r="E83" s="5"/>
      <c r="F83" s="5"/>
      <c r="G83" s="8"/>
    </row>
    <row r="84" spans="1:7">
      <c r="A84" s="4" t="s">
        <v>142</v>
      </c>
      <c r="B84" s="5"/>
      <c r="C84" s="9"/>
      <c r="D84" s="7" t="str">
        <f>IF(C84&gt;0,IF(实验设置!$B$9&gt;0,实验设置!$B$9/C84,""),"")</f>
        <v/>
      </c>
      <c r="E84" s="5"/>
      <c r="F84" s="5"/>
      <c r="G84" s="8"/>
    </row>
    <row r="85" spans="1:7">
      <c r="A85" s="4" t="s">
        <v>143</v>
      </c>
      <c r="B85" s="5"/>
      <c r="C85" s="9"/>
      <c r="D85" s="7" t="str">
        <f>IF(C85&gt;0,IF(实验设置!$B$9&gt;0,实验设置!$B$9/C85,""),"")</f>
        <v/>
      </c>
      <c r="E85" s="5"/>
      <c r="F85" s="5"/>
      <c r="G85" s="8"/>
    </row>
    <row r="86" spans="1:7">
      <c r="A86" s="4" t="s">
        <v>144</v>
      </c>
      <c r="B86" s="5"/>
      <c r="C86" s="9"/>
      <c r="D86" s="7" t="str">
        <f>IF(C86&gt;0,IF(实验设置!$B$9&gt;0,实验设置!$B$9/C86,""),"")</f>
        <v/>
      </c>
      <c r="E86" s="5"/>
      <c r="F86" s="5"/>
      <c r="G86" s="8"/>
    </row>
    <row r="87" spans="1:7">
      <c r="A87" s="4" t="s">
        <v>145</v>
      </c>
      <c r="B87" s="5"/>
      <c r="C87" s="9"/>
      <c r="D87" s="7" t="str">
        <f>IF(C87&gt;0,IF(实验设置!$B$9&gt;0,实验设置!$B$9/C87,""),"")</f>
        <v/>
      </c>
      <c r="E87" s="5"/>
      <c r="F87" s="5"/>
      <c r="G87" s="8"/>
    </row>
    <row r="88" spans="1:7">
      <c r="A88" s="4" t="s">
        <v>146</v>
      </c>
      <c r="B88" s="5"/>
      <c r="C88" s="9"/>
      <c r="D88" s="7" t="str">
        <f>IF(C88&gt;0,IF(实验设置!$B$9&gt;0,实验设置!$B$9/C88,""),"")</f>
        <v/>
      </c>
      <c r="E88" s="5"/>
      <c r="F88" s="5"/>
      <c r="G88" s="8"/>
    </row>
    <row r="89" spans="1:7">
      <c r="A89" s="4" t="s">
        <v>147</v>
      </c>
      <c r="B89" s="5"/>
      <c r="C89" s="9"/>
      <c r="D89" s="7" t="str">
        <f>IF(C89&gt;0,IF(实验设置!$B$9&gt;0,实验设置!$B$9/C89,""),"")</f>
        <v/>
      </c>
      <c r="E89" s="5"/>
      <c r="F89" s="5"/>
      <c r="G89" s="8"/>
    </row>
    <row r="90" spans="1:7">
      <c r="A90" s="4" t="s">
        <v>148</v>
      </c>
      <c r="B90" s="5"/>
      <c r="C90" s="9"/>
      <c r="D90" s="7" t="str">
        <f>IF(C90&gt;0,IF(实验设置!$B$9&gt;0,实验设置!$B$9/C90,""),"")</f>
        <v/>
      </c>
      <c r="E90" s="5"/>
      <c r="F90" s="5"/>
      <c r="G90" s="8"/>
    </row>
    <row r="91" spans="1:7">
      <c r="A91" s="4" t="s">
        <v>149</v>
      </c>
      <c r="B91" s="5"/>
      <c r="C91" s="9"/>
      <c r="D91" s="7" t="str">
        <f>IF(C91&gt;0,IF(实验设置!$B$9&gt;0,实验设置!$B$9/C91,""),"")</f>
        <v/>
      </c>
      <c r="E91" s="5"/>
      <c r="F91" s="5"/>
      <c r="G91" s="8"/>
    </row>
    <row r="92" spans="1:7">
      <c r="A92" s="4" t="s">
        <v>150</v>
      </c>
      <c r="B92" s="5"/>
      <c r="C92" s="9"/>
      <c r="D92" s="7" t="str">
        <f>IF(C92&gt;0,IF(实验设置!$B$9&gt;0,实验设置!$B$9/C92,""),"")</f>
        <v/>
      </c>
      <c r="E92" s="5"/>
      <c r="F92" s="5"/>
      <c r="G92" s="8"/>
    </row>
    <row r="93" spans="1:7">
      <c r="A93" s="4" t="s">
        <v>151</v>
      </c>
      <c r="B93" s="5"/>
      <c r="C93" s="9"/>
      <c r="D93" s="7" t="str">
        <f>IF(C93&gt;0,IF(实验设置!$B$9&gt;0,实验设置!$B$9/C93,""),"")</f>
        <v/>
      </c>
      <c r="E93" s="5"/>
      <c r="F93" s="5"/>
      <c r="G93" s="8"/>
    </row>
    <row r="94" spans="1:7">
      <c r="A94" s="4" t="s">
        <v>152</v>
      </c>
      <c r="B94" s="5"/>
      <c r="C94" s="9"/>
      <c r="D94" s="7" t="str">
        <f>IF(C94&gt;0,IF(实验设置!$B$9&gt;0,实验设置!$B$9/C94,""),"")</f>
        <v/>
      </c>
      <c r="E94" s="5"/>
      <c r="F94" s="5"/>
      <c r="G94" s="8"/>
    </row>
    <row r="95" spans="1:7">
      <c r="A95" s="4" t="s">
        <v>153</v>
      </c>
      <c r="B95" s="5"/>
      <c r="C95" s="9"/>
      <c r="D95" s="7" t="str">
        <f>IF(C95&gt;0,IF(实验设置!$B$9&gt;0,实验设置!$B$9/C95,""),"")</f>
        <v/>
      </c>
      <c r="E95" s="5"/>
      <c r="F95" s="5"/>
      <c r="G95" s="8"/>
    </row>
    <row r="96" spans="1:7">
      <c r="A96" s="4" t="s">
        <v>154</v>
      </c>
      <c r="B96" s="5"/>
      <c r="C96" s="9"/>
      <c r="D96" s="7" t="str">
        <f>IF(C96&gt;0,IF(实验设置!$B$9&gt;0,实验设置!$B$9/C96,""),"")</f>
        <v/>
      </c>
      <c r="E96" s="5"/>
      <c r="F96" s="5"/>
      <c r="G96" s="8"/>
    </row>
    <row r="97" spans="1:7">
      <c r="A97" s="4" t="s">
        <v>155</v>
      </c>
      <c r="B97" s="5"/>
      <c r="C97" s="9"/>
      <c r="D97" s="7" t="str">
        <f>IF(C97&gt;0,IF(实验设置!$B$9&gt;0,实验设置!$B$9/C97,""),"")</f>
        <v/>
      </c>
      <c r="E97" s="5"/>
      <c r="F97" s="5"/>
      <c r="G97" s="8"/>
    </row>
    <row r="98" spans="1:7">
      <c r="A98" s="4" t="s">
        <v>156</v>
      </c>
      <c r="B98" s="5"/>
      <c r="C98" s="9"/>
      <c r="D98" s="7" t="str">
        <f>IF(C98&gt;0,IF(实验设置!$B$9&gt;0,实验设置!$B$9/C98,""),"")</f>
        <v/>
      </c>
      <c r="E98" s="5"/>
      <c r="F98" s="5"/>
      <c r="G98" s="8"/>
    </row>
    <row r="99" spans="1:7">
      <c r="A99" s="4" t="s">
        <v>157</v>
      </c>
      <c r="B99" s="5"/>
      <c r="C99" s="9"/>
      <c r="D99" s="7" t="str">
        <f>IF(C99&gt;0,IF(实验设置!$B$9&gt;0,实验设置!$B$9/C99,""),"")</f>
        <v/>
      </c>
      <c r="E99" s="5"/>
      <c r="F99" s="5"/>
      <c r="G99" s="5"/>
    </row>
    <row r="100" spans="1:7">
      <c r="A100" s="4" t="s">
        <v>158</v>
      </c>
      <c r="B100" s="5"/>
      <c r="C100" s="9"/>
      <c r="D100" s="7" t="str">
        <f>IF(C100&gt;0,IF(实验设置!$B$9&gt;0,实验设置!$B$9/C100,""),"")</f>
        <v/>
      </c>
      <c r="E100" s="5"/>
      <c r="F100" s="5"/>
      <c r="G100" s="5"/>
    </row>
    <row r="101" spans="1:7">
      <c r="A101" s="4" t="s">
        <v>159</v>
      </c>
      <c r="B101" s="5"/>
      <c r="C101" s="9"/>
      <c r="D101" s="7" t="str">
        <f>IF(C101&gt;0,IF(实验设置!$B$9&gt;0,实验设置!$B$9/C101,""),"")</f>
        <v/>
      </c>
      <c r="E101" s="5"/>
      <c r="F101" s="5"/>
      <c r="G101" s="5"/>
    </row>
    <row r="102" spans="1:7">
      <c r="A102" s="4" t="s">
        <v>150</v>
      </c>
    </row>
  </sheetData>
  <mergeCells count="2">
    <mergeCell ref="A3:G3"/>
    <mergeCell ref="A1:G2"/>
  </mergeCells>
  <dataValidations count="2">
    <dataValidation type="decimal" operator="between" sqref="C6:C102">
      <formula1>0.001</formula1>
      <formula2>100000</formula2>
    </dataValidation>
    <dataValidation type="list" allowBlank="1" sqref="E6:E102">
      <formula1>"否,是"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实验设置</vt:lpstr>
      <vt:lpstr>Trial记录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10142</cp:lastModifiedBy>
  <dcterms:created xsi:type="dcterms:W3CDTF">2026-07-24T05:54:00Z</dcterms:created>
  <dcterms:modified xsi:type="dcterms:W3CDTF">2026-07-29T02:27:13Z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383446D470C84DAC918F0C9578A13CB8_13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