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7705\Desktop\"/>
    </mc:Choice>
  </mc:AlternateContent>
  <bookViews>
    <workbookView windowWidth="23040" windowHeight="9060" activeTab="2"/>
  </bookViews>
  <sheets>
    <sheet name="实验设置" sheetId="1" r:id="rId1"/>
    <sheet name="弹簧设置" sheetId="2" r:id="rId2"/>
    <sheet name="Trial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<sst xmlns="http://schemas.openxmlformats.org/spreadsheetml/2006/main" count="1123" uniqueCount="530">
  <si>
    <t>竖直弹簧振子实验｜静止释放</t>
  </si>
  <si>
    <t>装置为竖直悬挂式；整批实验统一从静止状态释放（初速度约为 0），固定小球和连接件，只更换弹簧、释放位移或背景。</t>
  </si>
  <si>
    <t>填写项目</t>
  </si>
  <si>
    <t>填写值</t>
  </si>
  <si>
    <t>简单示例</t>
  </si>
  <si>
    <t>为什么保留</t>
  </si>
  <si>
    <t>实验批次名称</t>
  </si>
  <si>
    <t>批次1</t>
  </si>
  <si>
    <t>例：20260729_spring_01</t>
  </si>
  <si>
    <t>用于文件夹和 metadata 命名</t>
  </si>
  <si>
    <t>采集日期</t>
  </si>
  <si>
    <t>填写当天日期</t>
  </si>
  <si>
    <t>不用填写具体时间</t>
  </si>
  <si>
    <t>手机型号</t>
  </si>
  <si>
    <t>iPhone 12</t>
  </si>
  <si>
    <t>已预填</t>
  </si>
  <si>
    <t>设备不变时无需修改</t>
  </si>
  <si>
    <t>录像模式</t>
  </si>
  <si>
    <t>1080p/240fps</t>
  </si>
  <si>
    <t>例：4K / 60 fps 或 1080p / 120 fps</t>
  </si>
  <si>
    <t>按实际录像设置填写</t>
  </si>
  <si>
    <t>装置形式</t>
  </si>
  <si>
    <t>竖直悬挂式</t>
  </si>
  <si>
    <t>明确重力方向与振动方向</t>
  </si>
  <si>
    <t>小球编号</t>
  </si>
  <si>
    <t>BALL-001</t>
  </si>
  <si>
    <t>例：BALL-001</t>
  </si>
  <si>
    <t>固定小球的唯一编号</t>
  </si>
  <si>
    <t>小球种类</t>
  </si>
  <si>
    <t>钢球</t>
  </si>
  <si>
    <t>例：钢球</t>
  </si>
  <si>
    <t>同一批次不可更换</t>
  </si>
  <si>
    <t>小球直径_mm</t>
  </si>
  <si>
    <t>例：30.00</t>
  </si>
  <si>
    <t>记录固定小球的外形尺寸</t>
  </si>
  <si>
    <t>振动总质量_g</t>
  </si>
  <si>
    <t>例：100.00</t>
  </si>
  <si>
    <t>小球与所有随动连接件整体称量</t>
  </si>
  <si>
    <t>重力加速度_m_s2</t>
  </si>
  <si>
    <t>已预填标准重力</t>
  </si>
  <si>
    <t>用于计算弹簧劲度系数</t>
  </si>
  <si>
    <t>平衡位置标记方式</t>
  </si>
  <si>
    <t>例：装置旁标尺零点</t>
  </si>
  <si>
    <t>释放位移均相对平衡位置测量</t>
  </si>
  <si>
    <t>释放方式</t>
  </si>
  <si>
    <t>静止释放</t>
  </si>
  <si>
    <t>整批固定</t>
  </si>
  <si>
    <t>释放前物体保持静止，初速度约为 0</t>
  </si>
  <si>
    <t>整体备注</t>
  </si>
  <si>
    <t>没有异常可留空</t>
  </si>
  <si>
    <t>记录影响整批实验的情况</t>
  </si>
  <si>
    <t>批次约束：小球及连接件保持不变；若更换小球、挂钩或随动配重，应新建实验批次。</t>
  </si>
  <si>
    <t>位移约定：x₀ = 释放长度 − 平衡长度；两种长度必须从同一固定点量到同一物体参考点。向下为正，向上为负。</t>
  </si>
  <si>
    <t>弹簧设置｜静态标定</t>
  </si>
  <si>
    <t>黄色区域人工测量；浅蓝区域自动计算。每根弹簧挂上同一个振子后测量平衡长度，用静态伸长计算劲度系数和理论周期。</t>
  </si>
  <si>
    <t>弹簧编号</t>
  </si>
  <si>
    <t>弹簧描述</t>
  </si>
  <si>
    <t>自然长度_mm</t>
  </si>
  <si>
    <t>平衡长度_mm</t>
  </si>
  <si>
    <t>静态伸长量_mm</t>
  </si>
  <si>
    <t>劲度系数_N_m</t>
  </si>
  <si>
    <t>理论周期_s</t>
  </si>
  <si>
    <t>备注（可空）</t>
  </si>
  <si>
    <t>S01</t>
  </si>
  <si>
    <t>原装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</si>
  <si>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</si>
  <si>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</si>
  <si>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</si>
  <si>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</si>
  <si>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</si>
  <si>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</si>
  <si>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</si>
  <si>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</si>
  <si>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</si>
  <si>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自动计算：静态伸长量 ΔL = 平衡长度 − 自然长度；劲度系数 k = mg/ΔL；理论周期 T = 2π√(m/k)。</t>
  </si>
  <si>
    <t>本表采用简化模型，不修正弹簧自身质量；若某根弹簧质量较大，可在后续分析阶段加入有效质量修正。</t>
  </si>
  <si>
    <t>Trial 记录｜每次释放一行</t>
  </si>
  <si>
    <t>整批统一静止释放。每次 Trial 记录 x₀ = 释放长度 − 该弹簧的平衡长度；技术无效 Trial 直接删除，轻微但仍可用的异常写入备注。</t>
  </si>
  <si>
    <t>Trial编号</t>
  </si>
  <si>
    <t>重复编号</t>
  </si>
  <si>
    <t>视频文件名</t>
  </si>
  <si>
    <t>释放长度-平衡长度_mm</t>
  </si>
  <si>
    <t>是否更换背景</t>
  </si>
  <si>
    <t>背景说明（可空）</t>
  </si>
  <si>
    <t>T001</t>
  </si>
  <si>
    <t>IMG_1538</t>
  </si>
  <si>
    <t>否</t>
  </si>
  <si>
    <t>T002</t>
  </si>
  <si>
    <t>IMG_1539</t>
  </si>
  <si>
    <t>T003</t>
  </si>
  <si>
    <t>IMG_1540</t>
  </si>
  <si>
    <t>T004</t>
  </si>
  <si>
    <t>IMG_1541</t>
  </si>
  <si>
    <t>T005</t>
  </si>
  <si>
    <t>IMG_1542</t>
  </si>
  <si>
    <t>是</t>
  </si>
  <si>
    <t>黑色泡沫</t>
  </si>
  <si>
    <t>T006</t>
  </si>
  <si>
    <t>IMG_1543</t>
  </si>
  <si>
    <t>T007</t>
  </si>
  <si>
    <t>IMG_1544</t>
  </si>
  <si>
    <t>T008</t>
  </si>
  <si>
    <t>IMG_1545</t>
  </si>
  <si>
    <t>T009</t>
  </si>
  <si>
    <t>IMG_1546</t>
  </si>
  <si>
    <t>T010</t>
  </si>
  <si>
    <t>IMG_1549</t>
  </si>
  <si>
    <t>红色卡纸</t>
  </si>
  <si>
    <t>T011</t>
  </si>
  <si>
    <t>IMG_1550</t>
  </si>
  <si>
    <t>粉色卡纸</t>
  </si>
  <si>
    <t>T012</t>
  </si>
  <si>
    <t>IMG_1553</t>
  </si>
  <si>
    <t>画</t>
  </si>
  <si>
    <t>T013</t>
  </si>
  <si>
    <t>IMG_1554</t>
  </si>
  <si>
    <t>T014</t>
  </si>
  <si>
    <t>IMG_1555</t>
  </si>
  <si>
    <t>T015</t>
  </si>
  <si>
    <t>IMG_1557</t>
  </si>
  <si>
    <t>紫色卡纸</t>
  </si>
  <si>
    <t>T016</t>
  </si>
  <si>
    <t>IMG_1558</t>
  </si>
  <si>
    <t>T017</t>
  </si>
  <si>
    <t>IMG_1559</t>
  </si>
  <si>
    <t>T018</t>
  </si>
  <si>
    <t>IMG_1560</t>
  </si>
  <si>
    <t>T019</t>
  </si>
  <si>
    <t>IMG_1561</t>
  </si>
  <si>
    <t>绿色卡纸</t>
  </si>
  <si>
    <t>T020</t>
  </si>
  <si>
    <t>IMG_1562</t>
  </si>
  <si>
    <t>T021</t>
  </si>
  <si>
    <t>IMG_1563</t>
  </si>
  <si>
    <t>橙色卡纸</t>
  </si>
  <si>
    <t>T022</t>
  </si>
  <si>
    <t>IMG_1564</t>
  </si>
  <si>
    <t>T023</t>
  </si>
  <si>
    <t>IMG_1565</t>
  </si>
  <si>
    <t>T024</t>
  </si>
  <si>
    <t>IMG_1566</t>
  </si>
  <si>
    <t>T025</t>
  </si>
  <si>
    <t>IMG_1567</t>
  </si>
  <si>
    <t>T026</t>
  </si>
  <si>
    <t>IMG_1568</t>
  </si>
  <si>
    <t>T027</t>
  </si>
  <si>
    <t>IMG_1569</t>
  </si>
  <si>
    <t>T028</t>
  </si>
  <si>
    <t>IMG_1570</t>
  </si>
  <si>
    <t>T029</t>
  </si>
  <si>
    <t>IMG_1571</t>
  </si>
  <si>
    <t>T030</t>
  </si>
  <si>
    <t>IMG_1572</t>
  </si>
  <si>
    <t>T031</t>
  </si>
  <si>
    <t>IMG_1573</t>
  </si>
  <si>
    <t>T032</t>
  </si>
  <si>
    <t>IMG_1574</t>
  </si>
  <si>
    <t>T033</t>
  </si>
  <si>
    <t>IMG_1575</t>
  </si>
  <si>
    <t>T034</t>
  </si>
  <si>
    <t>IMG_1576</t>
  </si>
  <si>
    <t>T035</t>
  </si>
  <si>
    <t>IMG_1577</t>
  </si>
  <si>
    <t>T036</t>
  </si>
  <si>
    <t>IMG_1578</t>
  </si>
  <si>
    <t>T037</t>
  </si>
  <si>
    <t>IMG_1579</t>
  </si>
  <si>
    <t>T038</t>
  </si>
  <si>
    <t>IMG_1580</t>
  </si>
  <si>
    <t>T039</t>
  </si>
  <si>
    <t>IMG_1581</t>
  </si>
  <si>
    <t>小车</t>
  </si>
  <si>
    <t>T040</t>
  </si>
  <si>
    <t>IMG_1582</t>
  </si>
  <si>
    <t>T041</t>
  </si>
  <si>
    <t>IMG_1583</t>
  </si>
  <si>
    <t>T042</t>
  </si>
  <si>
    <t>IMG_1584</t>
  </si>
  <si>
    <t>T043</t>
  </si>
  <si>
    <t>IMG_1585</t>
  </si>
  <si>
    <t>T044</t>
  </si>
  <si>
    <t>IMG_1586</t>
  </si>
  <si>
    <t>T045</t>
  </si>
  <si>
    <t>IMG_1587</t>
  </si>
  <si>
    <t>木块</t>
  </si>
  <si>
    <t>T046</t>
  </si>
  <si>
    <t>IMG_1588</t>
  </si>
  <si>
    <t>T047</t>
  </si>
  <si>
    <t>IMG_1589</t>
  </si>
  <si>
    <t>T048</t>
  </si>
  <si>
    <t>IMG_1590</t>
  </si>
  <si>
    <t>T049</t>
  </si>
  <si>
    <t>IMG_1591</t>
  </si>
  <si>
    <t>T050</t>
  </si>
  <si>
    <t>IMG_1592</t>
  </si>
  <si>
    <t>T051</t>
  </si>
  <si>
    <t>IMG_1594</t>
  </si>
  <si>
    <t>T052</t>
  </si>
  <si>
    <t>IMG_1595</t>
  </si>
  <si>
    <t>黑色卡纸</t>
  </si>
  <si>
    <t>T053</t>
  </si>
  <si>
    <t>IMG_1596</t>
  </si>
  <si>
    <t>T054</t>
  </si>
  <si>
    <t>IMG_1597</t>
  </si>
  <si>
    <t>T055</t>
  </si>
  <si>
    <t>IMG_1598</t>
  </si>
  <si>
    <t>T056</t>
  </si>
  <si>
    <t>IMG_1599</t>
  </si>
  <si>
    <t>T057</t>
  </si>
  <si>
    <t>IMG_1600</t>
  </si>
  <si>
    <t>T058</t>
  </si>
  <si>
    <t>IMG_1601</t>
  </si>
  <si>
    <t>T059</t>
  </si>
  <si>
    <t>IMG_1602</t>
  </si>
  <si>
    <t>T060</t>
  </si>
  <si>
    <t>IMG_1603</t>
  </si>
  <si>
    <t>T061</t>
  </si>
  <si>
    <t>IMG_1604</t>
  </si>
  <si>
    <t>T062</t>
  </si>
  <si>
    <t>IMG_1605</t>
  </si>
  <si>
    <t>T063</t>
  </si>
  <si>
    <t>IMG_1606</t>
  </si>
  <si>
    <t>T064</t>
  </si>
  <si>
    <t>IMG_1607</t>
  </si>
  <si>
    <t>T065</t>
  </si>
  <si>
    <t>IMG_1608</t>
  </si>
  <si>
    <t>T066</t>
  </si>
  <si>
    <t>IMG_1609</t>
  </si>
  <si>
    <t>T067</t>
  </si>
  <si>
    <t>IMG_1610</t>
  </si>
  <si>
    <t>针线盒</t>
  </si>
  <si>
    <t>T068</t>
  </si>
  <si>
    <t>IMG_1611</t>
  </si>
  <si>
    <t>T069</t>
  </si>
  <si>
    <t>IMG_1612</t>
  </si>
  <si>
    <t>T070</t>
  </si>
  <si>
    <t>IMG_1613</t>
  </si>
  <si>
    <t>T071</t>
  </si>
  <si>
    <t>IMG_1614</t>
  </si>
  <si>
    <t>T072</t>
  </si>
  <si>
    <t>IMG_1615</t>
  </si>
  <si>
    <t>T073</t>
  </si>
  <si>
    <t>IMG_1616</t>
  </si>
  <si>
    <t>T074</t>
  </si>
  <si>
    <t>IMG_1617</t>
  </si>
  <si>
    <t>T075</t>
  </si>
  <si>
    <t>IMG_1619</t>
  </si>
  <si>
    <t>T076</t>
  </si>
  <si>
    <t>IMG_1620</t>
  </si>
  <si>
    <t>T077</t>
  </si>
  <si>
    <t>IMG_1621</t>
  </si>
  <si>
    <t>T078</t>
  </si>
  <si>
    <t>IMG_1622</t>
  </si>
  <si>
    <t>T079</t>
  </si>
  <si>
    <t>IMG_1623</t>
  </si>
  <si>
    <t>T080</t>
  </si>
  <si>
    <t>IMG_1624</t>
  </si>
  <si>
    <t>T081</t>
  </si>
  <si>
    <t>IMG_1625</t>
  </si>
  <si>
    <t>T082</t>
  </si>
  <si>
    <t>IMG_1626</t>
  </si>
  <si>
    <t>T083</t>
  </si>
  <si>
    <t>IMG_1627</t>
  </si>
  <si>
    <t>T084</t>
  </si>
  <si>
    <t>IMG_1628</t>
  </si>
  <si>
    <t>T085</t>
  </si>
  <si>
    <t>IMG_1629</t>
  </si>
  <si>
    <t>T086</t>
  </si>
  <si>
    <t>IMG_1630</t>
  </si>
  <si>
    <t>T087</t>
  </si>
  <si>
    <t>IMG_1632</t>
  </si>
  <si>
    <t>T088</t>
  </si>
  <si>
    <t>IMG_1633</t>
  </si>
  <si>
    <t>T089</t>
  </si>
  <si>
    <t>IMG_1634</t>
  </si>
  <si>
    <t>T090</t>
  </si>
  <si>
    <t>IMG_1635</t>
  </si>
  <si>
    <t>T091</t>
  </si>
  <si>
    <t>IMG_1636</t>
  </si>
  <si>
    <t>T092</t>
  </si>
  <si>
    <t>IMG_1637</t>
  </si>
  <si>
    <t>T093</t>
  </si>
  <si>
    <t>IMG_1638</t>
  </si>
  <si>
    <t>T094</t>
  </si>
  <si>
    <t>IMG_1639</t>
  </si>
  <si>
    <t>T095</t>
  </si>
  <si>
    <t>IMG_1640</t>
  </si>
  <si>
    <t>T096</t>
  </si>
  <si>
    <t>IMG_1641</t>
  </si>
  <si>
    <t>T097</t>
  </si>
  <si>
    <t>IMG_1642</t>
  </si>
  <si>
    <t>T098</t>
  </si>
  <si>
    <t>IMG_1643</t>
  </si>
  <si>
    <t>T099</t>
  </si>
  <si>
    <t>IMG_1644</t>
  </si>
  <si>
    <t>T100</t>
  </si>
  <si>
    <t>IMG_1645</t>
  </si>
  <si>
    <t>T101</t>
  </si>
  <si>
    <t>IMG_1646</t>
  </si>
  <si>
    <t>T102</t>
  </si>
  <si>
    <t>IMG_1647</t>
  </si>
  <si>
    <t>T103</t>
  </si>
  <si>
    <t>T104</t>
  </si>
  <si>
    <t>IMG_1648</t>
  </si>
  <si>
    <t>T105</t>
  </si>
  <si>
    <t>IMG_1649</t>
  </si>
  <si>
    <t>T106</t>
  </si>
  <si>
    <t>IMG_1650</t>
  </si>
  <si>
    <t>T107</t>
  </si>
  <si>
    <t>IMG_1651</t>
  </si>
  <si>
    <t>T108</t>
  </si>
  <si>
    <t>IMG_1652</t>
  </si>
  <si>
    <t>T109</t>
  </si>
  <si>
    <t>IMG_1653</t>
  </si>
  <si>
    <t>T110</t>
  </si>
  <si>
    <t>IMG_1654</t>
  </si>
  <si>
    <t>T111</t>
  </si>
  <si>
    <t>IMG_1655</t>
  </si>
  <si>
    <t>T112</t>
  </si>
  <si>
    <t>IMG_1656</t>
  </si>
  <si>
    <t>T113</t>
  </si>
  <si>
    <t>IMG_1657</t>
  </si>
  <si>
    <t>T114</t>
  </si>
  <si>
    <t>IMG_1658</t>
  </si>
  <si>
    <t>T115</t>
  </si>
  <si>
    <t>IMG_1659</t>
  </si>
  <si>
    <t>T116</t>
  </si>
  <si>
    <t>IMG_1660</t>
  </si>
  <si>
    <t>T117</t>
  </si>
  <si>
    <t>IMG_1661</t>
  </si>
  <si>
    <t>T118</t>
  </si>
  <si>
    <t>IMG_1662</t>
  </si>
  <si>
    <t>T119</t>
  </si>
  <si>
    <t>IMG_1663</t>
  </si>
  <si>
    <t>矿泉水瓶</t>
  </si>
  <si>
    <t>T120</t>
  </si>
  <si>
    <t>IMG_1664</t>
  </si>
  <si>
    <t>T121</t>
  </si>
  <si>
    <t>IMG_1665</t>
  </si>
  <si>
    <t>T122</t>
  </si>
  <si>
    <t>IMG_1666</t>
  </si>
  <si>
    <t>T123</t>
  </si>
  <si>
    <t>IMG_1667</t>
  </si>
  <si>
    <t>T124</t>
  </si>
  <si>
    <t>IMG_1668</t>
  </si>
  <si>
    <t>T125</t>
  </si>
  <si>
    <t>IMG_1669</t>
  </si>
  <si>
    <t>T126</t>
  </si>
  <si>
    <t>IMG_1670</t>
  </si>
  <si>
    <t>T127</t>
  </si>
  <si>
    <t>IMG_1677</t>
  </si>
  <si>
    <t>T128</t>
  </si>
  <si>
    <t>IMG_1678</t>
  </si>
  <si>
    <t>T129</t>
  </si>
  <si>
    <t>IMG_1679</t>
  </si>
  <si>
    <t>T130</t>
  </si>
  <si>
    <t>IMG_1680</t>
  </si>
  <si>
    <t>T131</t>
  </si>
  <si>
    <t>IMG_1681</t>
  </si>
  <si>
    <t>T132</t>
  </si>
  <si>
    <t>IMG_1682</t>
  </si>
  <si>
    <t>T133</t>
  </si>
  <si>
    <t>IMG_1683</t>
  </si>
  <si>
    <t>T134</t>
  </si>
  <si>
    <t>IMG_1684</t>
  </si>
  <si>
    <t>T135</t>
  </si>
  <si>
    <t>IMG_1685</t>
  </si>
  <si>
    <t>T136</t>
  </si>
  <si>
    <t>IMG_1686</t>
  </si>
  <si>
    <t>T137</t>
  </si>
  <si>
    <t>IMG_1687</t>
  </si>
  <si>
    <t>T138</t>
  </si>
  <si>
    <t>IMG_1688</t>
  </si>
  <si>
    <t>T139</t>
  </si>
  <si>
    <t>IMG_1689</t>
  </si>
  <si>
    <t>T140</t>
  </si>
  <si>
    <t>IMG_1690</t>
  </si>
  <si>
    <t>T141</t>
  </si>
  <si>
    <t>IMG_1691</t>
  </si>
  <si>
    <t>T142</t>
  </si>
  <si>
    <t>IMG_1692</t>
  </si>
  <si>
    <t>T143</t>
  </si>
  <si>
    <t>IMG_1693</t>
  </si>
  <si>
    <t>T144</t>
  </si>
  <si>
    <t>IMG_1695</t>
  </si>
  <si>
    <t>T145</t>
  </si>
  <si>
    <t>IMG_1696</t>
  </si>
  <si>
    <t>T146</t>
  </si>
  <si>
    <t>IMG_1697</t>
  </si>
  <si>
    <t>T147</t>
  </si>
  <si>
    <t>IMG_1698</t>
  </si>
  <si>
    <t>T148</t>
  </si>
  <si>
    <t>IMG_1699</t>
  </si>
  <si>
    <t>T149</t>
  </si>
  <si>
    <t>IMG_1700</t>
  </si>
  <si>
    <t>T150</t>
  </si>
  <si>
    <t>IMG_1701</t>
  </si>
  <si>
    <t>T151</t>
  </si>
  <si>
    <t>IMG_1702</t>
  </si>
  <si>
    <t>T152</t>
  </si>
  <si>
    <t>IMG_1703</t>
  </si>
  <si>
    <t>T153</t>
  </si>
  <si>
    <t>IMG_1704</t>
  </si>
  <si>
    <t>T154</t>
  </si>
  <si>
    <t>IMG_1705</t>
  </si>
  <si>
    <t>T155</t>
  </si>
  <si>
    <t>IMG_1706</t>
  </si>
  <si>
    <t>T156</t>
  </si>
  <si>
    <t>IMG_1707</t>
  </si>
  <si>
    <t>T157</t>
  </si>
  <si>
    <t>IMG_1708</t>
  </si>
  <si>
    <t>T158</t>
  </si>
  <si>
    <t>IMG_1709</t>
  </si>
  <si>
    <t>T159</t>
  </si>
  <si>
    <t>IMG_1710</t>
  </si>
  <si>
    <t>T160</t>
  </si>
  <si>
    <t>IMG_1711</t>
  </si>
  <si>
    <t>T161</t>
  </si>
  <si>
    <t>IMG_1712</t>
  </si>
  <si>
    <t>T162</t>
  </si>
  <si>
    <t>IMG_1713</t>
  </si>
  <si>
    <t>T163</t>
  </si>
  <si>
    <t>IMG_1714</t>
  </si>
  <si>
    <t>T164</t>
  </si>
  <si>
    <t>IMG_1716</t>
  </si>
  <si>
    <t>T165</t>
  </si>
  <si>
    <t>IMG_1717</t>
  </si>
  <si>
    <t>T166</t>
  </si>
  <si>
    <t>IMG_1718</t>
  </si>
  <si>
    <t>T167</t>
  </si>
  <si>
    <t>IMG_1719</t>
  </si>
  <si>
    <t>T168</t>
  </si>
  <si>
    <t>IMG_1720</t>
  </si>
  <si>
    <t>T169</t>
  </si>
  <si>
    <t>IMG_1721</t>
  </si>
  <si>
    <t>T170</t>
  </si>
  <si>
    <t>IMG_1722</t>
  </si>
  <si>
    <t>T171</t>
  </si>
  <si>
    <t>IMG_1723</t>
  </si>
  <si>
    <t>T172</t>
  </si>
  <si>
    <t>IMG_1724</t>
  </si>
  <si>
    <t>T173</t>
  </si>
  <si>
    <t>IMG_1725</t>
  </si>
  <si>
    <t>T174</t>
  </si>
  <si>
    <t>IMG_1726</t>
  </si>
  <si>
    <t>T175</t>
  </si>
  <si>
    <t>IMG_1727</t>
  </si>
  <si>
    <t>T176</t>
  </si>
  <si>
    <t>IMG_1728</t>
  </si>
  <si>
    <t>T177</t>
  </si>
  <si>
    <t>IMG_1729</t>
  </si>
  <si>
    <t>T178</t>
  </si>
  <si>
    <t>IMG_1730</t>
  </si>
  <si>
    <t>颜料</t>
  </si>
  <si>
    <t>T179</t>
  </si>
  <si>
    <t>IMG_1731</t>
  </si>
  <si>
    <t>T180</t>
  </si>
  <si>
    <t>IMG_1732</t>
  </si>
  <si>
    <t>T181</t>
  </si>
  <si>
    <t>IMG_1733</t>
  </si>
  <si>
    <t>T182</t>
  </si>
  <si>
    <t>IMG_1734</t>
  </si>
  <si>
    <t>T183</t>
  </si>
  <si>
    <t>IMG_1735</t>
  </si>
  <si>
    <t>T184</t>
  </si>
  <si>
    <t>IMG_1736</t>
  </si>
  <si>
    <t>T185</t>
  </si>
  <si>
    <t>IMG_1737</t>
  </si>
  <si>
    <t>T186</t>
  </si>
  <si>
    <t>IMG_1738</t>
  </si>
  <si>
    <t>T187</t>
  </si>
  <si>
    <t>IMG_1739</t>
  </si>
  <si>
    <t>T188</t>
  </si>
  <si>
    <t>IMG_1740</t>
  </si>
  <si>
    <t>T189</t>
  </si>
  <si>
    <t>IMG_1741</t>
  </si>
  <si>
    <t>T190</t>
  </si>
  <si>
    <t>IMG_1742</t>
  </si>
  <si>
    <t>T191</t>
  </si>
  <si>
    <t>IMG_1744</t>
  </si>
  <si>
    <t>T192</t>
  </si>
  <si>
    <t>IMG_1745</t>
  </si>
  <si>
    <t>T193</t>
  </si>
  <si>
    <t>IMG_1746</t>
  </si>
  <si>
    <t>T194</t>
  </si>
  <si>
    <t>IMG_1747</t>
  </si>
  <si>
    <t>T195</t>
  </si>
  <si>
    <t>IMG_1748</t>
  </si>
  <si>
    <t>T196</t>
  </si>
  <si>
    <t>IMG_1749</t>
  </si>
  <si>
    <t>T197</t>
  </si>
  <si>
    <t>IMG_1750</t>
  </si>
  <si>
    <t>T198</t>
  </si>
  <si>
    <t>IMG_1751</t>
  </si>
  <si>
    <t>T199</t>
  </si>
  <si>
    <t>IMG_1752</t>
  </si>
  <si>
    <t>T200</t>
  </si>
  <si>
    <t>IMG_1753</t>
  </si>
  <si>
    <t>T201</t>
  </si>
  <si>
    <t>IMG_1754</t>
  </si>
  <si>
    <t>T202</t>
  </si>
  <si>
    <t>IMG_1755</t>
  </si>
  <si>
    <t>T203</t>
  </si>
  <si>
    <t>IMG_1756</t>
  </si>
  <si>
    <t>T204</t>
  </si>
  <si>
    <t>IMG_1757</t>
  </si>
  <si>
    <t>T205</t>
  </si>
  <si>
    <t>IMG_1758</t>
  </si>
  <si>
    <t>T206</t>
  </si>
  <si>
    <t>IMG_1759</t>
  </si>
  <si>
    <t>颜料针线盒</t>
  </si>
  <si>
    <t>T207</t>
  </si>
  <si>
    <t>IMG_1760</t>
  </si>
  <si>
    <t>T208</t>
  </si>
  <si>
    <t>IMG_1761</t>
  </si>
  <si>
    <t>T209</t>
  </si>
  <si>
    <t>IMG_1762</t>
  </si>
  <si>
    <t>T210</t>
  </si>
  <si>
    <t>IMG_1763</t>
  </si>
  <si>
    <t>T211</t>
  </si>
  <si>
    <t>IMG_1764</t>
  </si>
  <si>
    <t>T212</t>
  </si>
  <si>
    <t>IMG_1765</t>
  </si>
  <si>
    <t>T265</t>
  </si>
  <si>
    <t>T266</t>
  </si>
  <si>
    <t>T267</t>
  </si>
  <si>
    <t>T268</t>
  </si>
  <si>
    <t>T269</t>
  </si>
  <si>
    <t>T270</t>
  </si>
  <si>
    <t>T271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</si>
</sst>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yyyy\-mm\-dd"/>
    <numFmt numFmtId="178" formatCode="0.00000"/>
  </numFmts>
  <fonts count="29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0"/>
      <color rgb="FF183B56"/>
      <name val="Carlito"/>
      <charset val="134"/>
    </font>
    <font>
      <b/>
      <sz val="11"/>
      <color rgb="FFFFFFFF"/>
      <name val="Carlito"/>
      <charset val="134"/>
    </font>
    <font>
      <sz val="10"/>
      <color rgb="FF263238"/>
      <name val="Carlito"/>
      <charset val="134"/>
    </font>
    <font>
      <sz val="10"/>
      <color rgb="FF263238"/>
      <name val="宋体"/>
      <charset val="134"/>
    </font>
    <font>
      <b/>
      <sz val="10"/>
      <color rgb="FF183B56"/>
      <name val="Carlito"/>
      <charset val="134"/>
    </font>
    <font>
      <i/>
      <sz val="10"/>
      <color rgb="FF263238"/>
      <name val="Carlito"/>
      <charset val="134"/>
    </font>
    <font>
      <b/>
      <sz val="10"/>
      <color rgb="FF26323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83B56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87271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3" borderId="1" xfId="49" applyNumberFormat="1" applyFont="1" applyFill="1" applyBorder="1" applyAlignment="1">
      <alignment horizontal="center" vertical="center"/>
    </xf>
    <xf numFmtId="0" fontId="4" fillId="5" borderId="1" xfId="49" applyNumberFormat="1" applyFont="1" applyFill="1" applyBorder="1" applyAlignment="1">
      <alignment vertical="center"/>
    </xf>
    <xf numFmtId="1" fontId="4" fillId="5" borderId="1" xfId="49" applyNumberFormat="1" applyFont="1" applyFill="1" applyBorder="1" applyAlignment="1">
      <alignment vertical="center"/>
    </xf>
    <xf numFmtId="2" fontId="4" fillId="5" borderId="1" xfId="49" applyNumberFormat="1" applyFont="1" applyFill="1" applyBorder="1" applyAlignment="1">
      <alignment vertical="center"/>
    </xf>
    <xf numFmtId="0" fontId="5" fillId="5" borderId="1" xfId="49" applyNumberFormat="1" applyFont="1" applyFill="1" applyBorder="1" applyAlignment="1">
      <alignment vertical="center"/>
    </xf>
    <xf numFmtId="176" fontId="4" fillId="3" borderId="1" xfId="49" applyNumberFormat="1" applyFont="1" applyFill="1" applyBorder="1" applyAlignment="1">
      <alignment vertical="center"/>
    </xf>
    <xf numFmtId="176" fontId="4" fillId="5" borderId="1" xfId="49" applyNumberFormat="1" applyFont="1" applyFill="1" applyBorder="1" applyAlignment="1">
      <alignment vertical="center"/>
    </xf>
    <xf numFmtId="0" fontId="6" fillId="3" borderId="0" xfId="49" applyNumberFormat="1" applyFont="1" applyFill="1" applyBorder="1" applyAlignment="1">
      <alignment vertical="center" wrapText="1"/>
    </xf>
    <xf numFmtId="0" fontId="7" fillId="0" borderId="0" xfId="49" applyNumberFormat="1" applyFont="1" applyFill="1" applyBorder="1" applyAlignment="1">
      <alignment vertical="center" wrapText="1"/>
    </xf>
    <xf numFmtId="0" fontId="8" fillId="6" borderId="1" xfId="49" applyNumberFormat="1" applyFont="1" applyFill="1" applyBorder="1" applyAlignment="1">
      <alignment vertical="center"/>
    </xf>
    <xf numFmtId="0" fontId="4" fillId="7" borderId="1" xfId="49" applyNumberFormat="1" applyFont="1" applyFill="1" applyBorder="1" applyAlignment="1">
      <alignment vertical="center" wrapText="1"/>
    </xf>
    <xf numFmtId="177" fontId="4" fillId="5" borderId="1" xfId="49" applyNumberFormat="1" applyFont="1" applyFill="1" applyBorder="1" applyAlignment="1">
      <alignment vertical="center"/>
    </xf>
    <xf numFmtId="0" fontId="4" fillId="3" borderId="1" xfId="49" applyNumberFormat="1" applyFont="1" applyFill="1" applyBorder="1" applyAlignment="1">
      <alignment vertical="center"/>
    </xf>
    <xf numFmtId="178" fontId="4" fillId="5" borderId="1" xfId="49" applyNumberFormat="1" applyFont="1" applyFill="1" applyBorder="1" applyAlignment="1">
      <alignment vertical="center"/>
    </xf>
    <xf numFmtId="178" fontId="4" fillId="3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showGridLines="0" topLeftCell="A2" workbookViewId="0">
      <selection activeCell="B13" sqref="B13"/>
    </sheetView>
  </sheetViews>
  <sheetFormatPr defaultColWidth="9" defaultRowHeight="13.8" outlineLevelCol="3"/>
  <cols>
    <col min="1" max="1" width="27" customWidth="1"/>
    <col min="2" max="2" width="28" customWidth="1"/>
    <col min="3" max="3" width="34" customWidth="1"/>
    <col min="4" max="4" width="40" customWidth="1"/>
  </cols>
  <sheetData>
    <row r="1" ht="34" customHeight="1" spans="1:4">
      <c r="A1" s="1" t="s">
        <v>0</v>
      </c>
      <c r="B1" s="1"/>
      <c r="C1" s="1"/>
      <c r="D1" s="1"/>
    </row>
    <row r="2" ht="34" customHeight="1" spans="1:4">
      <c r="A2" s="1"/>
      <c r="B2" s="1"/>
      <c r="C2" s="1"/>
      <c r="D2" s="1"/>
    </row>
    <row r="3" ht="34" customHeight="1" spans="1:4">
      <c r="A3" s="2" t="s">
        <v>1</v>
      </c>
      <c r="B3" s="2"/>
      <c r="C3" s="2"/>
      <c r="D3" s="2"/>
    </row>
    <row r="5" ht="34" customHeight="1" spans="1:4">
      <c r="A5" s="3" t="s">
        <v>2</v>
      </c>
      <c r="B5" s="3" t="s">
        <v>3</v>
      </c>
      <c r="C5" s="3" t="s">
        <v>4</v>
      </c>
      <c r="D5" s="3" t="s">
        <v>5</v>
      </c>
    </row>
    <row r="6" spans="1:4">
      <c r="A6" s="13" t="s">
        <v>6</v>
      </c>
      <c r="B6" s="5" t="s">
        <v>7</v>
      </c>
      <c r="C6" s="14" t="s">
        <v>8</v>
      </c>
      <c r="D6" s="14" t="s">
        <v>9</v>
      </c>
    </row>
    <row r="7" spans="1:4">
      <c r="A7" s="13" t="s">
        <v>10</v>
      </c>
      <c r="B7" s="15"/>
      <c r="C7" s="14" t="s">
        <v>11</v>
      </c>
      <c r="D7" s="14" t="s">
        <v>12</v>
      </c>
    </row>
    <row r="8" spans="1:4">
      <c r="A8" s="13" t="s">
        <v>13</v>
      </c>
      <c r="B8" s="16" t="s">
        <v>14</v>
      </c>
      <c r="C8" s="14" t="s">
        <v>15</v>
      </c>
      <c r="D8" s="14" t="s">
        <v>16</v>
      </c>
    </row>
    <row r="9" spans="1:4">
      <c r="A9" s="13" t="s">
        <v>17</v>
      </c>
      <c r="B9" s="5" t="s">
        <v>18</v>
      </c>
      <c r="C9" s="14" t="s">
        <v>19</v>
      </c>
      <c r="D9" s="14" t="s">
        <v>20</v>
      </c>
    </row>
    <row r="10" spans="1:4">
      <c r="A10" s="13" t="s">
        <v>21</v>
      </c>
      <c r="B10" s="16" t="s">
        <v>22</v>
      </c>
      <c r="C10" s="14" t="s">
        <v>15</v>
      </c>
      <c r="D10" s="14" t="s">
        <v>23</v>
      </c>
    </row>
    <row r="11" spans="1:4">
      <c r="A11" s="13" t="s">
        <v>24</v>
      </c>
      <c r="B11" s="5" t="s">
        <v>25</v>
      </c>
      <c r="C11" s="14" t="s">
        <v>26</v>
      </c>
      <c r="D11" s="14" t="s">
        <v>27</v>
      </c>
    </row>
    <row r="12" spans="1:4">
      <c r="A12" s="13" t="s">
        <v>28</v>
      </c>
      <c r="B12" s="5" t="s">
        <v>29</v>
      </c>
      <c r="C12" s="14" t="s">
        <v>30</v>
      </c>
      <c r="D12" s="14" t="s">
        <v>31</v>
      </c>
    </row>
    <row r="13" spans="1:4">
      <c r="A13" s="13" t="s">
        <v>32</v>
      </c>
      <c r="B13" s="17">
        <v>50</v>
      </c>
      <c r="C13" s="14" t="s">
        <v>33</v>
      </c>
      <c r="D13" s="14" t="s">
        <v>34</v>
      </c>
    </row>
    <row r="14" spans="1:4">
      <c r="A14" s="13" t="s">
        <v>35</v>
      </c>
      <c r="B14" s="17">
        <v>515.6</v>
      </c>
      <c r="C14" s="14" t="s">
        <v>36</v>
      </c>
      <c r="D14" s="14" t="s">
        <v>37</v>
      </c>
    </row>
    <row r="15" spans="1:4">
      <c r="A15" s="13" t="s">
        <v>38</v>
      </c>
      <c r="B15" s="18">
        <v>9.80665</v>
      </c>
      <c r="C15" s="14" t="s">
        <v>39</v>
      </c>
      <c r="D15" s="14" t="s">
        <v>40</v>
      </c>
    </row>
    <row r="16" spans="1:4">
      <c r="A16" s="13" t="s">
        <v>41</v>
      </c>
      <c r="B16" s="5"/>
      <c r="C16" s="14" t="s">
        <v>42</v>
      </c>
      <c r="D16" s="14" t="s">
        <v>43</v>
      </c>
    </row>
    <row r="17" spans="1:4">
      <c r="A17" s="13" t="s">
        <v>44</v>
      </c>
      <c r="B17" s="16" t="s">
        <v>45</v>
      </c>
      <c r="C17" s="14" t="s">
        <v>46</v>
      </c>
      <c r="D17" s="14" t="s">
        <v>47</v>
      </c>
    </row>
    <row r="18" spans="1:4">
      <c r="A18" s="13" t="s">
        <v>48</v>
      </c>
      <c r="B18" s="5"/>
      <c r="C18" s="14" t="s">
        <v>49</v>
      </c>
      <c r="D18" s="14" t="s">
        <v>50</v>
      </c>
    </row>
    <row r="21" ht="34" customHeight="1" spans="1:4">
      <c r="A21" s="11" t="s">
        <v>51</v>
      </c>
      <c r="B21" s="11"/>
      <c r="C21" s="11"/>
      <c r="D21" s="11"/>
    </row>
    <row r="22" ht="30" customHeight="1" spans="1:4">
      <c r="A22" s="12" t="s">
        <v>52</v>
      </c>
      <c r="B22" s="12"/>
      <c r="C22" s="12"/>
      <c r="D22" s="12"/>
    </row>
  </sheetData>
  <mergeCells count="4">
    <mergeCell ref="A3:D3"/>
    <mergeCell ref="A21:D21"/>
    <mergeCell ref="A22:D22"/>
    <mergeCell ref="A1:D2"/>
  </mergeCells>
  <dataValidations count="2">
    <dataValidation type="date" operator="between" sqref="B7">
      <formula1>2020-1-1</formula1>
      <formula2>2100-12-31</formula2>
    </dataValidation>
    <dataValidation type="decimal" operator="greaterThan" sqref="B13:B15">
      <formula1>0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topLeftCell="A4" workbookViewId="0">
      <selection activeCell="D8" sqref="D8"/>
    </sheetView>
  </sheetViews>
  <sheetFormatPr defaultColWidth="9" defaultRowHeight="13.8" outlineLevelCol="7"/>
  <cols>
    <col min="1" max="1" width="17" customWidth="1"/>
    <col min="2" max="2" width="25" customWidth="1"/>
    <col min="3" max="4" width="21" customWidth="1"/>
    <col min="5" max="5" width="23" customWidth="1"/>
    <col min="6" max="6" width="22" customWidth="1"/>
    <col min="7" max="7" width="19" customWidth="1"/>
    <col min="8" max="8" width="36" customWidth="1"/>
  </cols>
  <sheetData>
    <row r="1" ht="34" customHeight="1" spans="1:8">
      <c r="A1" s="1" t="s">
        <v>53</v>
      </c>
      <c r="B1" s="1"/>
      <c r="C1" s="1"/>
      <c r="D1" s="1"/>
      <c r="E1" s="1"/>
      <c r="F1" s="1"/>
      <c r="G1" s="1"/>
      <c r="H1" s="1"/>
    </row>
    <row r="2" ht="34" customHeight="1" spans="1:8">
      <c r="A2" s="1"/>
      <c r="B2" s="1"/>
      <c r="C2" s="1"/>
      <c r="D2" s="1"/>
      <c r="E2" s="1"/>
      <c r="F2" s="1"/>
      <c r="G2" s="1"/>
      <c r="H2" s="1"/>
    </row>
    <row r="3" ht="34" customHeight="1" spans="1:8">
      <c r="A3" s="2" t="s">
        <v>54</v>
      </c>
      <c r="B3" s="2"/>
      <c r="C3" s="2"/>
      <c r="D3" s="2"/>
      <c r="E3" s="2"/>
      <c r="F3" s="2"/>
      <c r="G3" s="2"/>
      <c r="H3" s="2"/>
    </row>
    <row r="5" ht="42" customHeight="1" spans="1:8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</row>
    <row r="6" spans="1:8">
      <c r="A6" s="4" t="s">
        <v>63</v>
      </c>
      <c r="B6" s="8" t="s">
        <v>64</v>
      </c>
      <c r="C6" s="10">
        <v>68</v>
      </c>
      <c r="D6" s="10">
        <v>223</v>
      </c>
      <c r="E6" s="9">
        <f t="shared" ref="E6:E15" si="0">IF(AND(C6&gt;0,D6&gt;C6),D6-C6,"")</f>
        <v>155</v>
      </c>
      <c r="F6" s="9">
        <f>IF(E6&gt;0,实验设置!$B$14*实验设置!$B$15/E6,"")</f>
        <v>32.6213467096774</v>
      </c>
      <c r="G6" s="9">
        <f>IF(F6&gt;0,2*PI()*SQRT((实验设置!$B$14/1000)/F6),"")</f>
        <v>0.789924128416829</v>
      </c>
      <c r="H6" s="5">
        <v>42.55</v>
      </c>
    </row>
    <row r="7" spans="1:8">
      <c r="A7" s="4" t="s">
        <v>65</v>
      </c>
      <c r="B7" s="5"/>
      <c r="C7" s="10"/>
      <c r="D7" s="10"/>
      <c r="E7" s="9" t="str">
        <f t="shared" si="0"/>
        <v/>
      </c>
      <c r="F7" s="9" t="e">
        <f>IF(E7&gt;0,实验设置!$B$14*实验设置!$B$15/E7,"")</f>
        <v>#VALUE!</v>
      </c>
      <c r="G7" s="9" t="e">
        <f>IF(F7&gt;0,2*PI()*SQRT((实验设置!$B$14/1000)/F7),"")</f>
        <v>#VALUE!</v>
      </c>
      <c r="H7" s="5"/>
    </row>
    <row r="8" spans="1:8">
      <c r="A8" s="4" t="s">
        <v>66</v>
      </c>
      <c r="B8" s="5"/>
      <c r="C8" s="10"/>
      <c r="D8" s="10"/>
      <c r="E8" s="9" t="str">
        <f t="shared" si="0"/>
        <v/>
      </c>
      <c r="F8" s="9" t="e">
        <f>IF(E8&gt;0,实验设置!$B$14*实验设置!$B$15/E8,"")</f>
        <v>#VALUE!</v>
      </c>
      <c r="G8" s="9" t="e">
        <f>IF(F8&gt;0,2*PI()*SQRT((实验设置!$B$14/1000)/F8),"")</f>
        <v>#VALUE!</v>
      </c>
      <c r="H8" s="5"/>
    </row>
    <row r="9" spans="1:8">
      <c r="A9" s="4" t="s">
        <v>67</v>
      </c>
      <c r="B9" s="5"/>
      <c r="C9" s="10"/>
      <c r="D9" s="10"/>
      <c r="E9" s="9" t="str">
        <f t="shared" si="0"/>
        <v/>
      </c>
      <c r="F9" s="9" t="e">
        <f>IF(E9&gt;0,实验设置!$B$14*实验设置!$B$15/E9,"")</f>
        <v>#VALUE!</v>
      </c>
      <c r="G9" s="9" t="e">
        <f>IF(F9&gt;0,2*PI()*SQRT((实验设置!$B$14/1000)/F9),"")</f>
        <v>#VALUE!</v>
      </c>
      <c r="H9" s="5"/>
    </row>
    <row r="10" spans="1:8">
      <c r="A10" s="4" t="s">
        <v>68</v>
      </c>
      <c r="B10" s="5"/>
      <c r="C10" s="10"/>
      <c r="D10" s="10"/>
      <c r="E10" s="9" t="str">
        <f t="shared" si="0"/>
        <v/>
      </c>
      <c r="F10" s="9" t="e">
        <f>IF(E10&gt;0,实验设置!$B$14*实验设置!$B$15/E10,"")</f>
        <v>#VALUE!</v>
      </c>
      <c r="G10" s="9" t="e">
        <f>IF(F10&gt;0,2*PI()*SQRT((实验设置!$B$14/1000)/F10),"")</f>
        <v>#VALUE!</v>
      </c>
      <c r="H10" s="5"/>
    </row>
    <row r="11" spans="1:8">
      <c r="A11" s="4" t="s">
        <v>69</v>
      </c>
      <c r="B11" s="5"/>
      <c r="C11" s="10"/>
      <c r="D11" s="10"/>
      <c r="E11" s="9" t="str">
        <f t="shared" si="0"/>
        <v/>
      </c>
      <c r="F11" s="9" t="e">
        <f>IF(E11&gt;0,实验设置!$B$14*实验设置!$B$15/E11,"")</f>
        <v>#VALUE!</v>
      </c>
      <c r="G11" s="9" t="e">
        <f>IF(F11&gt;0,2*PI()*SQRT((实验设置!$B$14/1000)/F11),"")</f>
        <v>#VALUE!</v>
      </c>
      <c r="H11" s="5"/>
    </row>
    <row r="12" spans="1:8">
      <c r="A12" s="4" t="s">
        <v>70</v>
      </c>
      <c r="B12" s="5"/>
      <c r="C12" s="10"/>
      <c r="D12" s="10"/>
      <c r="E12" s="9" t="str">
        <f t="shared" si="0"/>
        <v/>
      </c>
      <c r="F12" s="9" t="e">
        <f>IF(E12&gt;0,实验设置!$B$14*实验设置!$B$15/E12,"")</f>
        <v>#VALUE!</v>
      </c>
      <c r="G12" s="9" t="e">
        <f>IF(F12&gt;0,2*PI()*SQRT((实验设置!$B$14/1000)/F12),"")</f>
        <v>#VALUE!</v>
      </c>
      <c r="H12" s="5"/>
    </row>
    <row r="13" spans="1:8">
      <c r="A13" s="4" t="s">
        <v>71</v>
      </c>
      <c r="B13" s="5"/>
      <c r="C13" s="10"/>
      <c r="D13" s="10"/>
      <c r="E13" s="9" t="str">
        <f t="shared" si="0"/>
        <v/>
      </c>
      <c r="F13" s="9" t="e">
        <f>IF(E13&gt;0,实验设置!$B$14*实验设置!$B$15/E13,"")</f>
        <v>#VALUE!</v>
      </c>
      <c r="G13" s="9" t="e">
        <f>IF(F13&gt;0,2*PI()*SQRT((实验设置!$B$14/1000)/F13),"")</f>
        <v>#VALUE!</v>
      </c>
      <c r="H13" s="5"/>
    </row>
    <row r="14" spans="1:8">
      <c r="A14" s="4" t="s">
        <v>72</v>
      </c>
      <c r="B14" s="5"/>
      <c r="C14" s="10"/>
      <c r="D14" s="10"/>
      <c r="E14" s="9" t="str">
        <f t="shared" si="0"/>
        <v/>
      </c>
      <c r="F14" s="9" t="e">
        <f>IF(E14&gt;0,实验设置!$B$14*实验设置!$B$15/E14,"")</f>
        <v>#VALUE!</v>
      </c>
      <c r="G14" s="9" t="e">
        <f>IF(F14&gt;0,2*PI()*SQRT((实验设置!$B$14/1000)/F14),"")</f>
        <v>#VALUE!</v>
      </c>
      <c r="H14" s="5"/>
    </row>
    <row r="15" spans="1:8">
      <c r="A15" s="4" t="s">
        <v>73</v>
      </c>
      <c r="B15" s="5"/>
      <c r="C15" s="10"/>
      <c r="D15" s="10"/>
      <c r="E15" s="9" t="str">
        <f t="shared" si="0"/>
        <v/>
      </c>
      <c r="F15" s="9" t="e">
        <f>IF(E15&gt;0,实验设置!$B$14*实验设置!$B$15/E15,"")</f>
        <v>#VALUE!</v>
      </c>
      <c r="G15" s="9" t="e">
        <f>IF(F15&gt;0,2*PI()*SQRT((实验设置!$B$14/1000)/F15),"")</f>
        <v>#VALUE!</v>
      </c>
      <c r="H15" s="5"/>
    </row>
    <row r="18" ht="34" customHeight="1" spans="1:8">
      <c r="A18" s="11" t="s">
        <v>74</v>
      </c>
      <c r="B18" s="11"/>
      <c r="C18" s="11"/>
      <c r="D18" s="11"/>
      <c r="E18" s="11"/>
      <c r="F18" s="11"/>
      <c r="G18" s="11"/>
      <c r="H18" s="11"/>
    </row>
    <row r="19" ht="30" customHeight="1" spans="1:8">
      <c r="A19" s="12" t="s">
        <v>75</v>
      </c>
      <c r="B19" s="12"/>
      <c r="C19" s="12"/>
      <c r="D19" s="12"/>
      <c r="E19" s="12"/>
      <c r="F19" s="12"/>
      <c r="G19" s="12"/>
      <c r="H19" s="12"/>
    </row>
  </sheetData>
  <mergeCells count="4">
    <mergeCell ref="A3:H3"/>
    <mergeCell ref="A18:H18"/>
    <mergeCell ref="A19:H19"/>
    <mergeCell ref="A1:H2"/>
  </mergeCells>
  <dataValidations count="1">
    <dataValidation type="decimal" operator="greaterThan" sqref="C6:D15">
      <formula1>0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2"/>
  <sheetViews>
    <sheetView showGridLines="0" tabSelected="1" topLeftCell="A3" workbookViewId="0">
      <selection activeCell="H210" sqref="H210"/>
    </sheetView>
  </sheetViews>
  <sheetFormatPr defaultColWidth="9" defaultRowHeight="13.8"/>
  <cols>
    <col min="1" max="1" width="14" customWidth="1"/>
    <col min="2" max="2" width="15" customWidth="1"/>
    <col min="3" max="3" width="14" customWidth="1"/>
    <col min="4" max="4" width="25" customWidth="1"/>
    <col min="5" max="5" width="26" customWidth="1"/>
    <col min="6" max="6" width="18" customWidth="1"/>
    <col min="7" max="7" width="25" customWidth="1"/>
    <col min="8" max="8" width="27" customWidth="1"/>
    <col min="9" max="9" width="18" customWidth="1"/>
  </cols>
  <sheetData>
    <row r="1" ht="34" customHeight="1" spans="1:9">
      <c r="A1" s="1" t="s">
        <v>76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1"/>
      <c r="B2" s="1"/>
      <c r="C2" s="1"/>
      <c r="D2" s="1"/>
      <c r="E2" s="1"/>
      <c r="F2" s="1"/>
      <c r="G2" s="1"/>
      <c r="H2" s="1"/>
      <c r="I2" s="1"/>
    </row>
    <row r="3" ht="34" customHeight="1" spans="1:9">
      <c r="A3" s="2" t="s">
        <v>77</v>
      </c>
      <c r="B3" s="2"/>
      <c r="C3" s="2"/>
      <c r="D3" s="2"/>
      <c r="E3" s="2"/>
      <c r="F3" s="2"/>
      <c r="G3" s="2"/>
      <c r="H3" s="2"/>
      <c r="I3" s="2"/>
    </row>
    <row r="5" ht="46" customHeight="1" spans="1:9">
      <c r="A5" s="3" t="s">
        <v>78</v>
      </c>
      <c r="B5" s="3" t="s">
        <v>55</v>
      </c>
      <c r="C5" s="3" t="s">
        <v>79</v>
      </c>
      <c r="D5" s="3" t="s">
        <v>80</v>
      </c>
      <c r="E5" s="3" t="s">
        <v>81</v>
      </c>
      <c r="F5" s="3" t="s">
        <v>82</v>
      </c>
      <c r="G5" s="3" t="s">
        <v>83</v>
      </c>
      <c r="H5" s="3" t="s">
        <v>62</v>
      </c>
      <c r="I5" s="3" t="s">
        <v>61</v>
      </c>
    </row>
    <row r="6" ht="24" customHeight="1" spans="1:9">
      <c r="A6" s="4" t="s">
        <v>84</v>
      </c>
      <c r="B6" s="5" t="s">
        <v>63</v>
      </c>
      <c r="C6" s="6"/>
      <c r="D6" s="5" t="s">
        <v>85</v>
      </c>
      <c r="E6" s="7">
        <v>10</v>
      </c>
      <c r="F6" s="8" t="s">
        <v>86</v>
      </c>
      <c r="G6" s="5"/>
      <c r="H6" s="5"/>
      <c r="I6" s="9">
        <f>IFERROR(VLOOKUP(B6,弹簧设置!$A$6:$G$15,7,FALSE),"")</f>
        <v>0.789924128416829</v>
      </c>
    </row>
    <row r="7" ht="24" customHeight="1" spans="1:9">
      <c r="A7" s="4" t="s">
        <v>87</v>
      </c>
      <c r="B7" s="5" t="s">
        <v>63</v>
      </c>
      <c r="C7" s="6"/>
      <c r="D7" s="5" t="s">
        <v>88</v>
      </c>
      <c r="E7" s="7">
        <v>10</v>
      </c>
      <c r="F7" s="8" t="s">
        <v>86</v>
      </c>
      <c r="G7" s="5"/>
      <c r="H7" s="5"/>
      <c r="I7" s="9">
        <f>IFERROR(VLOOKUP(B7,弹簧设置!$A$6:$G$15,7,FALSE),"")</f>
        <v>0.789924128416829</v>
      </c>
    </row>
    <row r="8" ht="24" customHeight="1" spans="1:9">
      <c r="A8" s="4" t="s">
        <v>89</v>
      </c>
      <c r="B8" s="5" t="s">
        <v>63</v>
      </c>
      <c r="C8" s="6"/>
      <c r="D8" s="5" t="s">
        <v>90</v>
      </c>
      <c r="E8" s="7">
        <v>10</v>
      </c>
      <c r="F8" s="8" t="s">
        <v>86</v>
      </c>
      <c r="G8" s="5"/>
      <c r="H8" s="5"/>
      <c r="I8" s="9">
        <f>IFERROR(VLOOKUP(B8,弹簧设置!$A$6:$G$15,7,FALSE),"")</f>
        <v>0.789924128416829</v>
      </c>
    </row>
    <row r="9" ht="24" customHeight="1" spans="1:9">
      <c r="A9" s="4" t="s">
        <v>91</v>
      </c>
      <c r="B9" s="5" t="s">
        <v>63</v>
      </c>
      <c r="C9" s="6"/>
      <c r="D9" s="5" t="s">
        <v>92</v>
      </c>
      <c r="E9" s="7">
        <v>10</v>
      </c>
      <c r="F9" s="8" t="s">
        <v>86</v>
      </c>
      <c r="G9" s="5"/>
      <c r="H9" s="5"/>
      <c r="I9" s="9">
        <f>IFERROR(VLOOKUP(B9,弹簧设置!$A$6:$G$15,7,FALSE),"")</f>
        <v>0.789924128416829</v>
      </c>
    </row>
    <row r="10" ht="24" customHeight="1" spans="1:9">
      <c r="A10" s="4" t="s">
        <v>93</v>
      </c>
      <c r="B10" s="5" t="s">
        <v>63</v>
      </c>
      <c r="C10" s="6"/>
      <c r="D10" s="5" t="s">
        <v>94</v>
      </c>
      <c r="E10" s="7">
        <v>10</v>
      </c>
      <c r="F10" s="8" t="s">
        <v>95</v>
      </c>
      <c r="G10" s="8" t="s">
        <v>96</v>
      </c>
      <c r="H10" s="5"/>
      <c r="I10" s="9">
        <f>IFERROR(VLOOKUP(B10,弹簧设置!$A$6:$G$15,7,FALSE),"")</f>
        <v>0.789924128416829</v>
      </c>
    </row>
    <row r="11" ht="24" customHeight="1" spans="1:9">
      <c r="A11" s="4" t="s">
        <v>97</v>
      </c>
      <c r="B11" s="5" t="s">
        <v>63</v>
      </c>
      <c r="C11" s="6"/>
      <c r="D11" s="5" t="s">
        <v>98</v>
      </c>
      <c r="E11" s="7">
        <v>10</v>
      </c>
      <c r="F11" s="8" t="s">
        <v>95</v>
      </c>
      <c r="G11" s="5" t="s">
        <v>96</v>
      </c>
      <c r="H11" s="5"/>
      <c r="I11" s="9">
        <f>IFERROR(VLOOKUP(B11,弹簧设置!$A$6:$G$15,7,FALSE),"")</f>
        <v>0.789924128416829</v>
      </c>
    </row>
    <row r="12" ht="24" customHeight="1" spans="1:9">
      <c r="A12" s="4" t="s">
        <v>99</v>
      </c>
      <c r="B12" s="5" t="s">
        <v>63</v>
      </c>
      <c r="C12" s="6"/>
      <c r="D12" s="5" t="s">
        <v>100</v>
      </c>
      <c r="E12" s="7">
        <v>10</v>
      </c>
      <c r="F12" s="8" t="s">
        <v>95</v>
      </c>
      <c r="G12" s="8" t="s">
        <v>96</v>
      </c>
      <c r="H12" s="5"/>
      <c r="I12" s="9">
        <f>IFERROR(VLOOKUP(B12,弹簧设置!$A$6:$G$15,7,FALSE),"")</f>
        <v>0.789924128416829</v>
      </c>
    </row>
    <row r="13" ht="24" customHeight="1" spans="1:9">
      <c r="A13" s="4" t="s">
        <v>101</v>
      </c>
      <c r="B13" s="5" t="s">
        <v>63</v>
      </c>
      <c r="C13" s="6"/>
      <c r="D13" s="5" t="s">
        <v>102</v>
      </c>
      <c r="E13" s="7">
        <v>20</v>
      </c>
      <c r="F13" s="8" t="s">
        <v>95</v>
      </c>
      <c r="G13" s="5" t="s">
        <v>96</v>
      </c>
      <c r="H13" s="5"/>
      <c r="I13" s="9">
        <f>IFERROR(VLOOKUP(B13,弹簧设置!$A$6:$G$15,7,FALSE),"")</f>
        <v>0.789924128416829</v>
      </c>
    </row>
    <row r="14" ht="24" customHeight="1" spans="1:9">
      <c r="A14" s="4" t="s">
        <v>103</v>
      </c>
      <c r="B14" s="5" t="s">
        <v>63</v>
      </c>
      <c r="C14" s="6"/>
      <c r="D14" s="5" t="s">
        <v>104</v>
      </c>
      <c r="E14" s="7">
        <v>20</v>
      </c>
      <c r="F14" s="8" t="s">
        <v>95</v>
      </c>
      <c r="G14" s="5" t="s">
        <v>96</v>
      </c>
      <c r="H14" s="5"/>
      <c r="I14" s="9">
        <f>IFERROR(VLOOKUP(B14,弹簧设置!$A$6:$G$15,7,FALSE),"")</f>
        <v>0.789924128416829</v>
      </c>
    </row>
    <row r="15" ht="24" customHeight="1" spans="1:9">
      <c r="A15" s="4" t="s">
        <v>105</v>
      </c>
      <c r="B15" s="5" t="s">
        <v>63</v>
      </c>
      <c r="C15" s="6"/>
      <c r="D15" s="5" t="s">
        <v>106</v>
      </c>
      <c r="E15" s="7">
        <v>20</v>
      </c>
      <c r="F15" s="8" t="s">
        <v>95</v>
      </c>
      <c r="G15" s="8" t="s">
        <v>107</v>
      </c>
      <c r="H15" s="5"/>
      <c r="I15" s="9">
        <f>IFERROR(VLOOKUP(B15,弹簧设置!$A$6:$G$15,7,FALSE),"")</f>
        <v>0.789924128416829</v>
      </c>
    </row>
    <row r="16" ht="24" customHeight="1" spans="1:9">
      <c r="A16" s="4" t="s">
        <v>108</v>
      </c>
      <c r="B16" s="5" t="s">
        <v>63</v>
      </c>
      <c r="C16" s="6"/>
      <c r="D16" s="5" t="s">
        <v>109</v>
      </c>
      <c r="E16" s="7">
        <v>20</v>
      </c>
      <c r="F16" s="8" t="s">
        <v>95</v>
      </c>
      <c r="G16" s="8" t="s">
        <v>110</v>
      </c>
      <c r="H16" s="5"/>
      <c r="I16" s="9">
        <f>IFERROR(VLOOKUP(B16,弹簧设置!$A$6:$G$15,7,FALSE),"")</f>
        <v>0.789924128416829</v>
      </c>
    </row>
    <row r="17" ht="24" customHeight="1" spans="1:9">
      <c r="A17" s="4" t="s">
        <v>111</v>
      </c>
      <c r="B17" s="5" t="s">
        <v>63</v>
      </c>
      <c r="C17" s="6"/>
      <c r="D17" s="5" t="s">
        <v>112</v>
      </c>
      <c r="E17" s="7">
        <v>20</v>
      </c>
      <c r="F17" s="8" t="s">
        <v>95</v>
      </c>
      <c r="G17" s="8" t="s">
        <v>113</v>
      </c>
      <c r="H17" s="5"/>
      <c r="I17" s="9">
        <f>IFERROR(VLOOKUP(B17,弹簧设置!$A$6:$G$15,7,FALSE),"")</f>
        <v>0.789924128416829</v>
      </c>
    </row>
    <row r="18" ht="24" customHeight="1" spans="1:9">
      <c r="A18" s="4" t="s">
        <v>114</v>
      </c>
      <c r="B18" s="5" t="s">
        <v>63</v>
      </c>
      <c r="C18" s="6"/>
      <c r="D18" s="5" t="s">
        <v>115</v>
      </c>
      <c r="E18" s="7">
        <v>20</v>
      </c>
      <c r="F18" s="8" t="s">
        <v>95</v>
      </c>
      <c r="G18" s="8" t="s">
        <v>113</v>
      </c>
      <c r="H18" s="5"/>
      <c r="I18" s="9">
        <f>IFERROR(VLOOKUP(B18,弹簧设置!$A$6:$G$15,7,FALSE),"")</f>
        <v>0.789924128416829</v>
      </c>
    </row>
    <row r="19" ht="24" customHeight="1" spans="1:9">
      <c r="A19" s="4" t="s">
        <v>116</v>
      </c>
      <c r="B19" s="5" t="s">
        <v>63</v>
      </c>
      <c r="C19" s="6"/>
      <c r="D19" s="5" t="s">
        <v>117</v>
      </c>
      <c r="E19" s="7">
        <v>20</v>
      </c>
      <c r="F19" s="8" t="s">
        <v>95</v>
      </c>
      <c r="G19" s="8" t="s">
        <v>113</v>
      </c>
      <c r="H19" s="5"/>
      <c r="I19" s="9">
        <f>IFERROR(VLOOKUP(B19,弹簧设置!$A$6:$G$15,7,FALSE),"")</f>
        <v>0.789924128416829</v>
      </c>
    </row>
    <row r="20" ht="24" customHeight="1" spans="1:9">
      <c r="A20" s="4" t="s">
        <v>118</v>
      </c>
      <c r="B20" s="5" t="s">
        <v>63</v>
      </c>
      <c r="C20" s="6"/>
      <c r="D20" s="5" t="s">
        <v>119</v>
      </c>
      <c r="E20" s="7">
        <v>30</v>
      </c>
      <c r="F20" s="8" t="s">
        <v>95</v>
      </c>
      <c r="G20" s="8" t="s">
        <v>120</v>
      </c>
      <c r="H20" s="5"/>
      <c r="I20" s="9">
        <f>IFERROR(VLOOKUP(B20,弹簧设置!$A$6:$G$15,7,FALSE),"")</f>
        <v>0.789924128416829</v>
      </c>
    </row>
    <row r="21" ht="24" customHeight="1" spans="1:9">
      <c r="A21" s="4" t="s">
        <v>121</v>
      </c>
      <c r="B21" s="5" t="s">
        <v>63</v>
      </c>
      <c r="C21" s="6"/>
      <c r="D21" s="5" t="s">
        <v>122</v>
      </c>
      <c r="E21" s="7">
        <v>30</v>
      </c>
      <c r="F21" s="8" t="s">
        <v>95</v>
      </c>
      <c r="G21" s="5" t="s">
        <v>110</v>
      </c>
      <c r="H21" s="5"/>
      <c r="I21" s="9"/>
    </row>
    <row r="22" ht="24" customHeight="1" spans="1:9">
      <c r="A22" s="4" t="s">
        <v>123</v>
      </c>
      <c r="B22" s="5" t="s">
        <v>63</v>
      </c>
      <c r="C22" s="6"/>
      <c r="D22" s="5" t="s">
        <v>124</v>
      </c>
      <c r="E22" s="7">
        <v>30</v>
      </c>
      <c r="F22" s="8" t="s">
        <v>86</v>
      </c>
      <c r="G22" s="5"/>
      <c r="H22" s="5"/>
      <c r="I22" s="9">
        <f>IFERROR(VLOOKUP(B22,弹簧设置!$A$6:$G$15,7,FALSE),"")</f>
        <v>0.789924128416829</v>
      </c>
    </row>
    <row r="23" ht="24" customHeight="1" spans="1:9">
      <c r="A23" s="4" t="s">
        <v>125</v>
      </c>
      <c r="B23" s="5" t="s">
        <v>63</v>
      </c>
      <c r="C23" s="6"/>
      <c r="D23" s="5" t="s">
        <v>126</v>
      </c>
      <c r="E23" s="7">
        <v>30</v>
      </c>
      <c r="F23" s="8" t="s">
        <v>86</v>
      </c>
      <c r="G23" s="5"/>
      <c r="H23" s="5"/>
      <c r="I23" s="9">
        <f>IFERROR(VLOOKUP(B23,弹簧设置!$A$6:$G$15,7,FALSE),"")</f>
        <v>0.789924128416829</v>
      </c>
    </row>
    <row r="24" ht="24" customHeight="1" spans="1:9">
      <c r="A24" s="4" t="s">
        <v>127</v>
      </c>
      <c r="B24" s="5" t="s">
        <v>63</v>
      </c>
      <c r="C24" s="6"/>
      <c r="D24" s="5" t="s">
        <v>128</v>
      </c>
      <c r="E24" s="7">
        <v>30</v>
      </c>
      <c r="F24" s="8" t="s">
        <v>95</v>
      </c>
      <c r="G24" s="8" t="s">
        <v>129</v>
      </c>
      <c r="H24" s="5"/>
      <c r="I24" s="9">
        <f>IFERROR(VLOOKUP(B24,弹簧设置!$A$6:$G$15,7,FALSE),"")</f>
        <v>0.789924128416829</v>
      </c>
    </row>
    <row r="25" ht="24" customHeight="1" spans="1:9">
      <c r="A25" s="4" t="s">
        <v>130</v>
      </c>
      <c r="B25" s="5" t="s">
        <v>63</v>
      </c>
      <c r="C25" s="6"/>
      <c r="D25" s="5" t="s">
        <v>131</v>
      </c>
      <c r="E25" s="7">
        <v>30</v>
      </c>
      <c r="F25" s="8" t="s">
        <v>95</v>
      </c>
      <c r="G25" s="5" t="s">
        <v>107</v>
      </c>
      <c r="H25" s="5"/>
      <c r="I25" s="9">
        <f>IFERROR(VLOOKUP(B25,弹簧设置!$A$6:$G$15,7,FALSE),"")</f>
        <v>0.789924128416829</v>
      </c>
    </row>
    <row r="26" ht="24" customHeight="1" spans="1:9">
      <c r="A26" s="4" t="s">
        <v>132</v>
      </c>
      <c r="B26" s="5" t="s">
        <v>63</v>
      </c>
      <c r="C26" s="6"/>
      <c r="D26" s="5" t="s">
        <v>133</v>
      </c>
      <c r="E26" s="7">
        <v>30</v>
      </c>
      <c r="F26" s="8" t="s">
        <v>95</v>
      </c>
      <c r="G26" s="8" t="s">
        <v>134</v>
      </c>
      <c r="H26" s="5"/>
      <c r="I26" s="9">
        <f>IFERROR(VLOOKUP(B26,弹簧设置!$A$6:$G$15,7,FALSE),"")</f>
        <v>0.789924128416829</v>
      </c>
    </row>
    <row r="27" ht="24" customHeight="1" spans="1:9">
      <c r="A27" s="4" t="s">
        <v>135</v>
      </c>
      <c r="B27" s="5" t="s">
        <v>63</v>
      </c>
      <c r="C27" s="6"/>
      <c r="D27" s="5" t="s">
        <v>136</v>
      </c>
      <c r="E27" s="7">
        <v>40</v>
      </c>
      <c r="F27" s="8" t="s">
        <v>86</v>
      </c>
      <c r="G27" s="5"/>
      <c r="H27" s="5"/>
      <c r="I27" s="9">
        <f>IFERROR(VLOOKUP(B27,弹簧设置!$A$6:$G$15,7,FALSE),"")</f>
        <v>0.789924128416829</v>
      </c>
    </row>
    <row r="28" ht="24" customHeight="1" spans="1:9">
      <c r="A28" s="4" t="s">
        <v>137</v>
      </c>
      <c r="B28" s="5" t="s">
        <v>63</v>
      </c>
      <c r="C28" s="6"/>
      <c r="D28" s="5" t="s">
        <v>138</v>
      </c>
      <c r="E28" s="7">
        <v>40</v>
      </c>
      <c r="F28" s="8" t="s">
        <v>95</v>
      </c>
      <c r="G28" s="5" t="s">
        <v>96</v>
      </c>
      <c r="H28" s="5"/>
      <c r="I28" s="9">
        <f>IFERROR(VLOOKUP(B28,弹簧设置!$A$6:$G$15,7,FALSE),"")</f>
        <v>0.789924128416829</v>
      </c>
    </row>
    <row r="29" ht="24" customHeight="1" spans="1:9">
      <c r="A29" s="4" t="s">
        <v>139</v>
      </c>
      <c r="B29" s="5" t="s">
        <v>63</v>
      </c>
      <c r="C29" s="6"/>
      <c r="D29" s="5" t="s">
        <v>140</v>
      </c>
      <c r="E29" s="7">
        <v>40</v>
      </c>
      <c r="F29" s="8" t="s">
        <v>95</v>
      </c>
      <c r="G29" s="5" t="s">
        <v>96</v>
      </c>
      <c r="H29" s="5"/>
      <c r="I29" s="9">
        <f>IFERROR(VLOOKUP(B29,弹簧设置!$A$6:$G$15,7,FALSE),"")</f>
        <v>0.789924128416829</v>
      </c>
    </row>
    <row r="30" ht="24" customHeight="1" spans="1:9">
      <c r="A30" s="4" t="s">
        <v>141</v>
      </c>
      <c r="B30" s="5" t="s">
        <v>63</v>
      </c>
      <c r="C30" s="6"/>
      <c r="D30" s="5" t="s">
        <v>142</v>
      </c>
      <c r="E30" s="7">
        <v>40</v>
      </c>
      <c r="F30" s="8" t="s">
        <v>95</v>
      </c>
      <c r="G30" s="8" t="s">
        <v>113</v>
      </c>
      <c r="H30" s="5"/>
      <c r="I30" s="9">
        <f>IFERROR(VLOOKUP(B30,弹簧设置!$A$6:$G$15,7,FALSE),"")</f>
        <v>0.789924128416829</v>
      </c>
    </row>
    <row r="31" ht="24" customHeight="1" spans="1:9">
      <c r="A31" s="4" t="s">
        <v>143</v>
      </c>
      <c r="B31" s="5" t="s">
        <v>63</v>
      </c>
      <c r="C31" s="6"/>
      <c r="D31" s="5" t="s">
        <v>144</v>
      </c>
      <c r="E31" s="7">
        <v>40</v>
      </c>
      <c r="F31" s="8" t="s">
        <v>95</v>
      </c>
      <c r="G31" s="8" t="s">
        <v>113</v>
      </c>
      <c r="H31" s="5"/>
      <c r="I31" s="9">
        <f>IFERROR(VLOOKUP(B31,弹簧设置!$A$6:$G$15,7,FALSE),"")</f>
        <v>0.789924128416829</v>
      </c>
    </row>
    <row r="32" ht="24" customHeight="1" spans="1:9">
      <c r="A32" s="4" t="s">
        <v>145</v>
      </c>
      <c r="B32" s="5" t="s">
        <v>63</v>
      </c>
      <c r="C32" s="6"/>
      <c r="D32" s="5" t="s">
        <v>146</v>
      </c>
      <c r="E32" s="7">
        <v>40</v>
      </c>
      <c r="F32" s="8" t="s">
        <v>95</v>
      </c>
      <c r="G32" s="8" t="s">
        <v>113</v>
      </c>
      <c r="H32" s="5"/>
      <c r="I32" s="9">
        <f>IFERROR(VLOOKUP(B32,弹簧设置!$A$6:$G$15,7,FALSE),"")</f>
        <v>0.789924128416829</v>
      </c>
    </row>
    <row r="33" ht="24" customHeight="1" spans="1:9">
      <c r="A33" s="4" t="s">
        <v>147</v>
      </c>
      <c r="B33" s="5" t="s">
        <v>63</v>
      </c>
      <c r="C33" s="6"/>
      <c r="D33" s="5" t="s">
        <v>148</v>
      </c>
      <c r="E33" s="7">
        <v>40</v>
      </c>
      <c r="F33" s="8" t="s">
        <v>95</v>
      </c>
      <c r="G33" s="5" t="s">
        <v>110</v>
      </c>
      <c r="H33" s="5"/>
      <c r="I33" s="9">
        <f>IFERROR(VLOOKUP(B33,弹簧设置!$A$6:$G$15,7,FALSE),"")</f>
        <v>0.789924128416829</v>
      </c>
    </row>
    <row r="34" ht="24" customHeight="1" spans="1:9">
      <c r="A34" s="4" t="s">
        <v>149</v>
      </c>
      <c r="B34" s="5" t="s">
        <v>63</v>
      </c>
      <c r="C34" s="6"/>
      <c r="D34" s="5" t="s">
        <v>150</v>
      </c>
      <c r="E34" s="7">
        <v>50</v>
      </c>
      <c r="F34" s="8" t="s">
        <v>95</v>
      </c>
      <c r="G34" s="5" t="s">
        <v>129</v>
      </c>
      <c r="H34" s="5"/>
      <c r="I34" s="9">
        <f>IFERROR(VLOOKUP(B34,弹簧设置!$A$6:$G$15,7,FALSE),"")</f>
        <v>0.789924128416829</v>
      </c>
    </row>
    <row r="35" ht="24" customHeight="1" spans="1:9">
      <c r="A35" s="4" t="s">
        <v>151</v>
      </c>
      <c r="B35" s="5" t="s">
        <v>63</v>
      </c>
      <c r="C35" s="6"/>
      <c r="D35" s="5" t="s">
        <v>152</v>
      </c>
      <c r="E35" s="7">
        <v>50</v>
      </c>
      <c r="F35" s="8" t="s">
        <v>95</v>
      </c>
      <c r="G35" s="5" t="s">
        <v>129</v>
      </c>
      <c r="H35" s="5"/>
      <c r="I35" s="9">
        <f>IFERROR(VLOOKUP(B35,弹簧设置!$A$6:$G$15,7,FALSE),"")</f>
        <v>0.789924128416829</v>
      </c>
    </row>
    <row r="36" ht="24" customHeight="1" spans="1:9">
      <c r="A36" s="4" t="s">
        <v>153</v>
      </c>
      <c r="B36" s="5" t="s">
        <v>63</v>
      </c>
      <c r="C36" s="6"/>
      <c r="D36" s="5" t="s">
        <v>154</v>
      </c>
      <c r="E36" s="7">
        <v>50</v>
      </c>
      <c r="F36" s="8" t="s">
        <v>95</v>
      </c>
      <c r="G36" s="5" t="s">
        <v>107</v>
      </c>
      <c r="H36" s="5"/>
      <c r="I36" s="9">
        <f>IFERROR(VLOOKUP(B36,弹簧设置!$A$6:$G$15,7,FALSE),"")</f>
        <v>0.789924128416829</v>
      </c>
    </row>
    <row r="37" ht="24" customHeight="1" spans="1:9">
      <c r="A37" s="4" t="s">
        <v>155</v>
      </c>
      <c r="B37" s="5" t="s">
        <v>63</v>
      </c>
      <c r="C37" s="6"/>
      <c r="D37" s="5" t="s">
        <v>156</v>
      </c>
      <c r="E37" s="7">
        <v>50</v>
      </c>
      <c r="F37" s="8" t="s">
        <v>95</v>
      </c>
      <c r="G37" s="5" t="s">
        <v>120</v>
      </c>
      <c r="H37" s="5"/>
      <c r="I37" s="9">
        <f>IFERROR(VLOOKUP(B37,弹簧设置!$A$6:$G$15,7,FALSE),"")</f>
        <v>0.789924128416829</v>
      </c>
    </row>
    <row r="38" ht="24" customHeight="1" spans="1:9">
      <c r="A38" s="4" t="s">
        <v>157</v>
      </c>
      <c r="B38" s="5" t="s">
        <v>63</v>
      </c>
      <c r="C38" s="6"/>
      <c r="D38" s="5" t="s">
        <v>158</v>
      </c>
      <c r="E38" s="7">
        <v>50</v>
      </c>
      <c r="F38" s="8" t="s">
        <v>95</v>
      </c>
      <c r="G38" s="5" t="s">
        <v>120</v>
      </c>
      <c r="H38" s="5"/>
      <c r="I38" s="9">
        <f>IFERROR(VLOOKUP(B38,弹簧设置!$A$6:$G$15,7,FALSE),"")</f>
        <v>0.789924128416829</v>
      </c>
    </row>
    <row r="39" ht="24" customHeight="1" spans="1:9">
      <c r="A39" s="4" t="s">
        <v>159</v>
      </c>
      <c r="B39" s="5" t="s">
        <v>63</v>
      </c>
      <c r="C39" s="6"/>
      <c r="D39" s="5" t="s">
        <v>160</v>
      </c>
      <c r="E39" s="7">
        <v>50</v>
      </c>
      <c r="F39" s="8" t="s">
        <v>95</v>
      </c>
      <c r="G39" s="5" t="s">
        <v>110</v>
      </c>
      <c r="H39" s="5"/>
      <c r="I39" s="9">
        <f>IFERROR(VLOOKUP(B39,弹簧设置!$A$6:$G$15,7,FALSE),"")</f>
        <v>0.789924128416829</v>
      </c>
    </row>
    <row r="40" ht="24" customHeight="1" spans="1:9">
      <c r="A40" s="4" t="s">
        <v>161</v>
      </c>
      <c r="B40" s="5" t="s">
        <v>63</v>
      </c>
      <c r="C40" s="6"/>
      <c r="D40" s="5" t="s">
        <v>162</v>
      </c>
      <c r="E40" s="7">
        <v>50</v>
      </c>
      <c r="F40" s="8" t="s">
        <v>95</v>
      </c>
      <c r="G40" s="8" t="s">
        <v>113</v>
      </c>
      <c r="H40" s="5"/>
      <c r="I40" s="9">
        <f>IFERROR(VLOOKUP(B40,弹簧设置!$A$6:$G$15,7,FALSE),"")</f>
        <v>0.789924128416829</v>
      </c>
    </row>
    <row r="41" ht="24" customHeight="1" spans="1:9">
      <c r="A41" s="4" t="s">
        <v>163</v>
      </c>
      <c r="B41" s="5" t="s">
        <v>63</v>
      </c>
      <c r="C41" s="6"/>
      <c r="D41" s="5" t="s">
        <v>164</v>
      </c>
      <c r="E41" s="7">
        <v>60</v>
      </c>
      <c r="F41" s="8" t="s">
        <v>95</v>
      </c>
      <c r="G41" s="8" t="s">
        <v>113</v>
      </c>
      <c r="H41" s="5"/>
      <c r="I41" s="9">
        <f>IFERROR(VLOOKUP(B41,弹簧设置!$A$6:$G$15,7,FALSE),"")</f>
        <v>0.789924128416829</v>
      </c>
    </row>
    <row r="42" ht="24" customHeight="1" spans="1:9">
      <c r="A42" s="4" t="s">
        <v>165</v>
      </c>
      <c r="B42" s="5" t="s">
        <v>63</v>
      </c>
      <c r="C42" s="6"/>
      <c r="D42" s="5" t="s">
        <v>166</v>
      </c>
      <c r="E42" s="7">
        <v>60</v>
      </c>
      <c r="F42" s="8" t="s">
        <v>86</v>
      </c>
      <c r="G42" s="5"/>
      <c r="H42" s="5"/>
      <c r="I42" s="9">
        <f>IFERROR(VLOOKUP(B42,弹簧设置!$A$6:$G$15,7,FALSE),"")</f>
        <v>0.789924128416829</v>
      </c>
    </row>
    <row r="43" ht="24" customHeight="1" spans="1:9">
      <c r="A43" s="4" t="s">
        <v>167</v>
      </c>
      <c r="B43" s="5" t="s">
        <v>63</v>
      </c>
      <c r="C43" s="6"/>
      <c r="D43" s="5" t="s">
        <v>168</v>
      </c>
      <c r="E43" s="7">
        <v>60</v>
      </c>
      <c r="F43" s="8" t="s">
        <v>86</v>
      </c>
      <c r="G43" s="5"/>
      <c r="H43" s="5"/>
      <c r="I43" s="9">
        <f>IFERROR(VLOOKUP(B43,弹簧设置!$A$6:$G$15,7,FALSE),"")</f>
        <v>0.789924128416829</v>
      </c>
    </row>
    <row r="44" ht="24" customHeight="1" spans="1:9">
      <c r="A44" s="4" t="s">
        <v>169</v>
      </c>
      <c r="B44" s="5" t="s">
        <v>63</v>
      </c>
      <c r="C44" s="6"/>
      <c r="D44" s="5" t="s">
        <v>170</v>
      </c>
      <c r="E44" s="7">
        <v>60</v>
      </c>
      <c r="F44" s="8" t="s">
        <v>95</v>
      </c>
      <c r="G44" s="8" t="s">
        <v>171</v>
      </c>
      <c r="H44" s="5"/>
      <c r="I44" s="9">
        <f>IFERROR(VLOOKUP(B44,弹簧设置!$A$6:$G$15,7,FALSE),"")</f>
        <v>0.789924128416829</v>
      </c>
    </row>
    <row r="45" ht="24" customHeight="1" spans="1:9">
      <c r="A45" s="4" t="s">
        <v>172</v>
      </c>
      <c r="B45" s="5" t="s">
        <v>63</v>
      </c>
      <c r="C45" s="6"/>
      <c r="D45" s="5" t="s">
        <v>173</v>
      </c>
      <c r="E45" s="7">
        <v>60</v>
      </c>
      <c r="F45" s="8" t="s">
        <v>95</v>
      </c>
      <c r="G45" s="8" t="s">
        <v>171</v>
      </c>
      <c r="H45" s="5"/>
      <c r="I45" s="9">
        <f>IFERROR(VLOOKUP(B45,弹簧设置!$A$6:$G$15,7,FALSE),"")</f>
        <v>0.789924128416829</v>
      </c>
    </row>
    <row r="46" ht="24" customHeight="1" spans="1:9">
      <c r="A46" s="4" t="s">
        <v>174</v>
      </c>
      <c r="B46" s="5" t="s">
        <v>63</v>
      </c>
      <c r="C46" s="6"/>
      <c r="D46" s="5" t="s">
        <v>175</v>
      </c>
      <c r="E46" s="7">
        <v>60</v>
      </c>
      <c r="F46" s="8" t="s">
        <v>95</v>
      </c>
      <c r="G46" s="8" t="s">
        <v>171</v>
      </c>
      <c r="H46" s="5"/>
      <c r="I46" s="9">
        <f>IFERROR(VLOOKUP(B46,弹簧设置!$A$6:$G$15,7,FALSE),"")</f>
        <v>0.789924128416829</v>
      </c>
    </row>
    <row r="47" ht="24" customHeight="1" spans="1:9">
      <c r="A47" s="4" t="s">
        <v>176</v>
      </c>
      <c r="B47" s="5" t="s">
        <v>63</v>
      </c>
      <c r="C47" s="6"/>
      <c r="D47" s="5" t="s">
        <v>177</v>
      </c>
      <c r="E47" s="7">
        <v>60</v>
      </c>
      <c r="F47" s="8" t="s">
        <v>95</v>
      </c>
      <c r="G47" s="8" t="s">
        <v>171</v>
      </c>
      <c r="H47" s="5"/>
      <c r="I47" s="9">
        <f>IFERROR(VLOOKUP(B47,弹簧设置!$A$6:$G$15,7,FALSE),"")</f>
        <v>0.789924128416829</v>
      </c>
    </row>
    <row r="48" ht="24" customHeight="1" spans="1:9">
      <c r="A48" s="4" t="s">
        <v>178</v>
      </c>
      <c r="B48" s="5" t="s">
        <v>63</v>
      </c>
      <c r="C48" s="6"/>
      <c r="D48" s="5" t="s">
        <v>179</v>
      </c>
      <c r="E48" s="7">
        <v>70</v>
      </c>
      <c r="F48" s="8" t="s">
        <v>95</v>
      </c>
      <c r="G48" s="8" t="s">
        <v>171</v>
      </c>
      <c r="H48" s="5"/>
      <c r="I48" s="9">
        <f>IFERROR(VLOOKUP(B48,弹簧设置!$A$6:$G$15,7,FALSE),"")</f>
        <v>0.789924128416829</v>
      </c>
    </row>
    <row r="49" ht="24" customHeight="1" spans="1:9">
      <c r="A49" s="4" t="s">
        <v>180</v>
      </c>
      <c r="B49" s="5" t="s">
        <v>63</v>
      </c>
      <c r="C49" s="6"/>
      <c r="D49" s="5" t="s">
        <v>181</v>
      </c>
      <c r="E49" s="7">
        <v>70</v>
      </c>
      <c r="F49" s="8" t="s">
        <v>95</v>
      </c>
      <c r="G49" s="8" t="s">
        <v>171</v>
      </c>
      <c r="H49" s="5"/>
      <c r="I49" s="9">
        <f>IFERROR(VLOOKUP(B49,弹簧设置!$A$6:$G$15,7,FALSE),"")</f>
        <v>0.789924128416829</v>
      </c>
    </row>
    <row r="50" ht="24" customHeight="1" spans="1:9">
      <c r="A50" s="4" t="s">
        <v>182</v>
      </c>
      <c r="B50" s="5" t="s">
        <v>63</v>
      </c>
      <c r="C50" s="6"/>
      <c r="D50" s="5" t="s">
        <v>183</v>
      </c>
      <c r="E50" s="7">
        <v>70</v>
      </c>
      <c r="F50" s="8" t="s">
        <v>95</v>
      </c>
      <c r="G50" s="8" t="s">
        <v>184</v>
      </c>
      <c r="H50" s="5"/>
      <c r="I50" s="9">
        <f>IFERROR(VLOOKUP(B50,弹簧设置!$A$6:$G$15,7,FALSE),"")</f>
        <v>0.789924128416829</v>
      </c>
    </row>
    <row r="51" ht="24" customHeight="1" spans="1:9">
      <c r="A51" s="4" t="s">
        <v>185</v>
      </c>
      <c r="B51" s="5" t="s">
        <v>63</v>
      </c>
      <c r="C51" s="6"/>
      <c r="D51" s="5" t="s">
        <v>186</v>
      </c>
      <c r="E51" s="7">
        <v>70</v>
      </c>
      <c r="F51" s="8" t="s">
        <v>95</v>
      </c>
      <c r="G51" s="8" t="s">
        <v>113</v>
      </c>
      <c r="H51" s="5"/>
      <c r="I51" s="9">
        <f>IFERROR(VLOOKUP(B51,弹簧设置!$A$6:$G$15,7,FALSE),"")</f>
        <v>0.789924128416829</v>
      </c>
    </row>
    <row r="52" ht="24" customHeight="1" spans="1:9">
      <c r="A52" s="4" t="s">
        <v>187</v>
      </c>
      <c r="B52" s="5" t="s">
        <v>63</v>
      </c>
      <c r="C52" s="6"/>
      <c r="D52" s="5" t="s">
        <v>188</v>
      </c>
      <c r="E52" s="7">
        <v>70</v>
      </c>
      <c r="F52" s="8" t="s">
        <v>95</v>
      </c>
      <c r="G52" s="8" t="s">
        <v>113</v>
      </c>
      <c r="H52" s="5"/>
      <c r="I52" s="9">
        <f>IFERROR(VLOOKUP(B52,弹簧设置!$A$6:$G$15,7,FALSE),"")</f>
        <v>0.789924128416829</v>
      </c>
    </row>
    <row r="53" ht="24" customHeight="1" spans="1:9">
      <c r="A53" s="4" t="s">
        <v>189</v>
      </c>
      <c r="B53" s="5" t="s">
        <v>63</v>
      </c>
      <c r="C53" s="6"/>
      <c r="D53" s="5" t="s">
        <v>190</v>
      </c>
      <c r="E53" s="7">
        <v>70</v>
      </c>
      <c r="F53" s="8" t="s">
        <v>95</v>
      </c>
      <c r="G53" s="5" t="s">
        <v>110</v>
      </c>
      <c r="H53" s="5"/>
      <c r="I53" s="9">
        <f>IFERROR(VLOOKUP(B53,弹簧设置!$A$6:$G$15,7,FALSE),"")</f>
        <v>0.789924128416829</v>
      </c>
    </row>
    <row r="54" ht="24" customHeight="1" spans="1:9">
      <c r="A54" s="4" t="s">
        <v>191</v>
      </c>
      <c r="B54" s="5" t="s">
        <v>63</v>
      </c>
      <c r="C54" s="6"/>
      <c r="D54" s="5" t="s">
        <v>192</v>
      </c>
      <c r="E54" s="7">
        <v>70</v>
      </c>
      <c r="F54" s="8" t="s">
        <v>95</v>
      </c>
      <c r="G54" s="5" t="s">
        <v>129</v>
      </c>
      <c r="H54" s="5"/>
      <c r="I54" s="9">
        <f>IFERROR(VLOOKUP(B54,弹簧设置!$A$6:$G$15,7,FALSE),"")</f>
        <v>0.789924128416829</v>
      </c>
    </row>
    <row r="55" ht="24" customHeight="1" spans="1:9">
      <c r="A55" s="4" t="s">
        <v>193</v>
      </c>
      <c r="B55" s="5" t="s">
        <v>63</v>
      </c>
      <c r="C55" s="6"/>
      <c r="D55" s="5" t="s">
        <v>194</v>
      </c>
      <c r="E55" s="7">
        <v>70</v>
      </c>
      <c r="F55" s="8" t="s">
        <v>95</v>
      </c>
      <c r="G55" s="8" t="s">
        <v>120</v>
      </c>
      <c r="H55" s="5"/>
      <c r="I55" s="9">
        <f>IFERROR(VLOOKUP(B55,弹簧设置!$A$6:$G$15,7,FALSE),"")</f>
        <v>0.789924128416829</v>
      </c>
    </row>
    <row r="56" ht="24" customHeight="1" spans="1:9">
      <c r="A56" s="4" t="s">
        <v>195</v>
      </c>
      <c r="B56" s="5" t="s">
        <v>63</v>
      </c>
      <c r="C56" s="6"/>
      <c r="D56" s="5" t="s">
        <v>196</v>
      </c>
      <c r="E56" s="7">
        <v>80</v>
      </c>
      <c r="F56" s="8" t="s">
        <v>95</v>
      </c>
      <c r="G56" s="8" t="s">
        <v>120</v>
      </c>
      <c r="H56" s="5"/>
      <c r="I56" s="9">
        <f>IFERROR(VLOOKUP(B56,弹簧设置!$A$6:$G$15,7,FALSE),"")</f>
        <v>0.789924128416829</v>
      </c>
    </row>
    <row r="57" ht="24" customHeight="1" spans="1:9">
      <c r="A57" s="4" t="s">
        <v>197</v>
      </c>
      <c r="B57" s="5" t="s">
        <v>63</v>
      </c>
      <c r="C57" s="6"/>
      <c r="D57" s="5" t="s">
        <v>198</v>
      </c>
      <c r="E57" s="7">
        <v>80</v>
      </c>
      <c r="F57" s="8" t="s">
        <v>95</v>
      </c>
      <c r="G57" s="8" t="s">
        <v>199</v>
      </c>
      <c r="H57" s="5"/>
      <c r="I57" s="9">
        <f>IFERROR(VLOOKUP(B57,弹簧设置!$A$6:$G$15,7,FALSE),"")</f>
        <v>0.789924128416829</v>
      </c>
    </row>
    <row r="58" ht="24" customHeight="1" spans="1:9">
      <c r="A58" s="4" t="s">
        <v>200</v>
      </c>
      <c r="B58" s="5" t="s">
        <v>63</v>
      </c>
      <c r="C58" s="6"/>
      <c r="D58" s="5" t="s">
        <v>201</v>
      </c>
      <c r="E58" s="7">
        <v>80</v>
      </c>
      <c r="F58" s="8" t="s">
        <v>95</v>
      </c>
      <c r="G58" s="8" t="s">
        <v>134</v>
      </c>
      <c r="H58" s="5"/>
      <c r="I58" s="9">
        <f>IFERROR(VLOOKUP(B58,弹簧设置!$A$6:$G$15,7,FALSE),"")</f>
        <v>0.789924128416829</v>
      </c>
    </row>
    <row r="59" ht="24" customHeight="1" spans="1:9">
      <c r="A59" s="4" t="s">
        <v>202</v>
      </c>
      <c r="B59" s="5" t="s">
        <v>63</v>
      </c>
      <c r="C59" s="6"/>
      <c r="D59" s="5" t="s">
        <v>203</v>
      </c>
      <c r="E59" s="7">
        <v>80</v>
      </c>
      <c r="F59" s="8" t="s">
        <v>95</v>
      </c>
      <c r="G59" s="5" t="s">
        <v>171</v>
      </c>
      <c r="H59" s="5"/>
      <c r="I59" s="9">
        <f>IFERROR(VLOOKUP(B59,弹簧设置!$A$6:$G$15,7,FALSE),"")</f>
        <v>0.789924128416829</v>
      </c>
    </row>
    <row r="60" ht="24" customHeight="1" spans="1:9">
      <c r="A60" s="4" t="s">
        <v>204</v>
      </c>
      <c r="B60" s="5" t="s">
        <v>63</v>
      </c>
      <c r="C60" s="6"/>
      <c r="D60" s="5" t="s">
        <v>205</v>
      </c>
      <c r="E60" s="7">
        <v>80</v>
      </c>
      <c r="F60" s="8" t="s">
        <v>95</v>
      </c>
      <c r="G60" s="5" t="s">
        <v>171</v>
      </c>
      <c r="H60" s="5"/>
      <c r="I60" s="9">
        <f>IFERROR(VLOOKUP(B60,弹簧设置!$A$6:$G$15,7,FALSE),"")</f>
        <v>0.789924128416829</v>
      </c>
    </row>
    <row r="61" ht="24" customHeight="1" spans="1:9">
      <c r="A61" s="4" t="s">
        <v>206</v>
      </c>
      <c r="B61" s="5" t="s">
        <v>63</v>
      </c>
      <c r="C61" s="6"/>
      <c r="D61" s="5" t="s">
        <v>207</v>
      </c>
      <c r="E61" s="7">
        <v>80</v>
      </c>
      <c r="F61" s="8" t="s">
        <v>95</v>
      </c>
      <c r="G61" s="5" t="s">
        <v>171</v>
      </c>
      <c r="H61" s="5"/>
      <c r="I61" s="9">
        <f>IFERROR(VLOOKUP(B61,弹簧设置!$A$6:$G$15,7,FALSE),"")</f>
        <v>0.789924128416829</v>
      </c>
    </row>
    <row r="62" ht="24" customHeight="1" spans="1:9">
      <c r="A62" s="4" t="s">
        <v>208</v>
      </c>
      <c r="B62" s="5" t="s">
        <v>63</v>
      </c>
      <c r="C62" s="6"/>
      <c r="D62" s="5" t="s">
        <v>209</v>
      </c>
      <c r="E62" s="7">
        <v>80</v>
      </c>
      <c r="F62" s="8" t="s">
        <v>95</v>
      </c>
      <c r="G62" s="5" t="s">
        <v>171</v>
      </c>
      <c r="H62" s="5"/>
      <c r="I62" s="9">
        <f>IFERROR(VLOOKUP(B62,弹簧设置!$A$6:$G$15,7,FALSE),"")</f>
        <v>0.789924128416829</v>
      </c>
    </row>
    <row r="63" ht="24" customHeight="1" spans="1:9">
      <c r="A63" s="4" t="s">
        <v>210</v>
      </c>
      <c r="B63" s="5" t="s">
        <v>63</v>
      </c>
      <c r="C63" s="6"/>
      <c r="D63" s="5" t="s">
        <v>211</v>
      </c>
      <c r="E63" s="7">
        <v>90</v>
      </c>
      <c r="F63" s="8" t="s">
        <v>95</v>
      </c>
      <c r="G63" s="5" t="s">
        <v>171</v>
      </c>
      <c r="H63" s="5"/>
      <c r="I63" s="9">
        <f>IFERROR(VLOOKUP(B63,弹簧设置!$A$6:$G$15,7,FALSE),"")</f>
        <v>0.789924128416829</v>
      </c>
    </row>
    <row r="64" ht="24" customHeight="1" spans="1:9">
      <c r="A64" s="4" t="s">
        <v>212</v>
      </c>
      <c r="B64" s="5" t="s">
        <v>63</v>
      </c>
      <c r="C64" s="6"/>
      <c r="D64" s="5" t="s">
        <v>213</v>
      </c>
      <c r="E64" s="7">
        <v>90</v>
      </c>
      <c r="F64" s="8" t="s">
        <v>95</v>
      </c>
      <c r="G64" s="5" t="s">
        <v>171</v>
      </c>
      <c r="H64" s="5"/>
      <c r="I64" s="9">
        <f>IFERROR(VLOOKUP(B64,弹簧设置!$A$6:$G$15,7,FALSE),"")</f>
        <v>0.789924128416829</v>
      </c>
    </row>
    <row r="65" ht="24" customHeight="1" spans="1:9">
      <c r="A65" s="4" t="s">
        <v>214</v>
      </c>
      <c r="B65" s="5" t="s">
        <v>63</v>
      </c>
      <c r="C65" s="6"/>
      <c r="D65" s="5" t="s">
        <v>215</v>
      </c>
      <c r="E65" s="7">
        <v>90</v>
      </c>
      <c r="F65" s="8" t="s">
        <v>95</v>
      </c>
      <c r="G65" s="8" t="s">
        <v>113</v>
      </c>
      <c r="H65" s="5"/>
      <c r="I65" s="9"/>
    </row>
    <row r="66" ht="24" customHeight="1" spans="1:9">
      <c r="A66" s="4" t="s">
        <v>216</v>
      </c>
      <c r="B66" s="5" t="s">
        <v>63</v>
      </c>
      <c r="C66" s="6"/>
      <c r="D66" s="5" t="s">
        <v>217</v>
      </c>
      <c r="E66" s="7">
        <v>90</v>
      </c>
      <c r="F66" s="8" t="s">
        <v>95</v>
      </c>
      <c r="G66" s="8" t="s">
        <v>113</v>
      </c>
      <c r="H66" s="5"/>
      <c r="I66" s="9"/>
    </row>
    <row r="67" ht="24" customHeight="1" spans="1:9">
      <c r="A67" s="4" t="s">
        <v>218</v>
      </c>
      <c r="B67" s="5" t="s">
        <v>63</v>
      </c>
      <c r="C67" s="6"/>
      <c r="D67" s="5" t="s">
        <v>219</v>
      </c>
      <c r="E67" s="7">
        <v>90</v>
      </c>
      <c r="F67" s="8" t="s">
        <v>95</v>
      </c>
      <c r="G67" s="5" t="s">
        <v>107</v>
      </c>
      <c r="H67" s="5"/>
      <c r="I67" s="9"/>
    </row>
    <row r="68" ht="24" customHeight="1" spans="1:9">
      <c r="A68" s="4" t="s">
        <v>220</v>
      </c>
      <c r="B68" s="5" t="s">
        <v>63</v>
      </c>
      <c r="C68" s="6"/>
      <c r="D68" s="5" t="s">
        <v>221</v>
      </c>
      <c r="E68" s="7">
        <v>90</v>
      </c>
      <c r="F68" s="8" t="s">
        <v>95</v>
      </c>
      <c r="G68" s="5" t="s">
        <v>110</v>
      </c>
      <c r="H68" s="5"/>
      <c r="I68" s="9"/>
    </row>
    <row r="69" ht="24" customHeight="1" spans="1:9">
      <c r="A69" s="4" t="s">
        <v>222</v>
      </c>
      <c r="B69" s="5" t="s">
        <v>63</v>
      </c>
      <c r="C69" s="6"/>
      <c r="D69" s="5" t="s">
        <v>223</v>
      </c>
      <c r="E69" s="7">
        <v>90</v>
      </c>
      <c r="F69" s="8" t="s">
        <v>95</v>
      </c>
      <c r="G69" s="5" t="s">
        <v>110</v>
      </c>
      <c r="H69" s="5"/>
      <c r="I69" s="9"/>
    </row>
    <row r="70" ht="24" customHeight="1" spans="1:9">
      <c r="A70" s="4" t="s">
        <v>224</v>
      </c>
      <c r="B70" s="5" t="s">
        <v>63</v>
      </c>
      <c r="C70" s="6"/>
      <c r="D70" s="5" t="s">
        <v>225</v>
      </c>
      <c r="E70" s="7">
        <v>100</v>
      </c>
      <c r="F70" s="8" t="s">
        <v>95</v>
      </c>
      <c r="G70" s="5" t="s">
        <v>184</v>
      </c>
      <c r="H70" s="5"/>
      <c r="I70" s="9"/>
    </row>
    <row r="71" ht="24" customHeight="1" spans="1:9">
      <c r="A71" s="4" t="s">
        <v>226</v>
      </c>
      <c r="B71" s="5" t="s">
        <v>63</v>
      </c>
      <c r="C71" s="6"/>
      <c r="D71" s="5" t="s">
        <v>227</v>
      </c>
      <c r="E71" s="7">
        <v>100</v>
      </c>
      <c r="F71" s="8" t="s">
        <v>95</v>
      </c>
      <c r="G71" s="5" t="s">
        <v>184</v>
      </c>
      <c r="H71" s="5"/>
      <c r="I71" s="9"/>
    </row>
    <row r="72" ht="24" customHeight="1" spans="1:9">
      <c r="A72" s="4" t="s">
        <v>228</v>
      </c>
      <c r="B72" s="5" t="s">
        <v>63</v>
      </c>
      <c r="C72" s="6"/>
      <c r="D72" s="5" t="s">
        <v>229</v>
      </c>
      <c r="E72" s="7">
        <v>100</v>
      </c>
      <c r="F72" s="8" t="s">
        <v>95</v>
      </c>
      <c r="G72" s="8" t="s">
        <v>230</v>
      </c>
      <c r="H72" s="5"/>
      <c r="I72" s="9"/>
    </row>
    <row r="73" ht="24" customHeight="1" spans="1:9">
      <c r="A73" s="4" t="s">
        <v>231</v>
      </c>
      <c r="B73" s="5" t="s">
        <v>63</v>
      </c>
      <c r="C73" s="6"/>
      <c r="D73" s="5" t="s">
        <v>232</v>
      </c>
      <c r="E73" s="7">
        <v>100</v>
      </c>
      <c r="F73" s="8" t="s">
        <v>95</v>
      </c>
      <c r="G73" s="8" t="s">
        <v>230</v>
      </c>
      <c r="H73" s="5"/>
      <c r="I73" s="9"/>
    </row>
    <row r="74" ht="24" customHeight="1" spans="1:9">
      <c r="A74" s="4" t="s">
        <v>233</v>
      </c>
      <c r="B74" s="5" t="s">
        <v>63</v>
      </c>
      <c r="C74" s="6"/>
      <c r="D74" s="5" t="s">
        <v>234</v>
      </c>
      <c r="E74" s="7">
        <v>100</v>
      </c>
      <c r="F74" s="8" t="s">
        <v>95</v>
      </c>
      <c r="G74" s="8" t="s">
        <v>230</v>
      </c>
      <c r="H74" s="5"/>
      <c r="I74" s="9"/>
    </row>
    <row r="75" ht="24" customHeight="1" spans="1:9">
      <c r="A75" s="4" t="s">
        <v>235</v>
      </c>
      <c r="B75" s="5" t="s">
        <v>63</v>
      </c>
      <c r="C75" s="6"/>
      <c r="D75" s="5" t="s">
        <v>236</v>
      </c>
      <c r="E75" s="7">
        <v>100</v>
      </c>
      <c r="F75" s="8" t="s">
        <v>86</v>
      </c>
      <c r="G75" s="8"/>
      <c r="H75" s="5"/>
      <c r="I75" s="9"/>
    </row>
    <row r="76" ht="24" customHeight="1" spans="1:9">
      <c r="A76" s="4" t="s">
        <v>237</v>
      </c>
      <c r="B76" s="5" t="s">
        <v>63</v>
      </c>
      <c r="C76" s="6"/>
      <c r="D76" s="5" t="s">
        <v>238</v>
      </c>
      <c r="E76" s="7">
        <v>100</v>
      </c>
      <c r="F76" s="8" t="s">
        <v>86</v>
      </c>
      <c r="G76" s="8"/>
      <c r="H76" s="5"/>
      <c r="I76" s="9"/>
    </row>
    <row r="77" ht="24" customHeight="1" spans="1:9">
      <c r="A77" s="4" t="s">
        <v>239</v>
      </c>
      <c r="B77" s="5" t="s">
        <v>63</v>
      </c>
      <c r="C77" s="6"/>
      <c r="D77" s="5" t="s">
        <v>240</v>
      </c>
      <c r="E77" s="7">
        <v>110</v>
      </c>
      <c r="F77" s="8" t="s">
        <v>95</v>
      </c>
      <c r="G77" s="8" t="s">
        <v>171</v>
      </c>
      <c r="H77" s="5"/>
      <c r="I77" s="9"/>
    </row>
    <row r="78" ht="24" customHeight="1" spans="1:9">
      <c r="A78" s="4" t="s">
        <v>241</v>
      </c>
      <c r="B78" s="5" t="s">
        <v>63</v>
      </c>
      <c r="C78" s="6"/>
      <c r="D78" s="5" t="s">
        <v>242</v>
      </c>
      <c r="E78" s="7">
        <v>110</v>
      </c>
      <c r="F78" s="8" t="s">
        <v>95</v>
      </c>
      <c r="G78" s="8" t="s">
        <v>171</v>
      </c>
      <c r="H78" s="5"/>
      <c r="I78" s="9"/>
    </row>
    <row r="79" ht="24" customHeight="1" spans="1:9">
      <c r="A79" s="4" t="s">
        <v>243</v>
      </c>
      <c r="B79" s="5" t="s">
        <v>63</v>
      </c>
      <c r="C79" s="6"/>
      <c r="D79" s="5" t="s">
        <v>244</v>
      </c>
      <c r="E79" s="7">
        <v>110</v>
      </c>
      <c r="F79" s="8" t="s">
        <v>95</v>
      </c>
      <c r="G79" s="8" t="s">
        <v>171</v>
      </c>
      <c r="H79" s="5"/>
      <c r="I79" s="9"/>
    </row>
    <row r="80" ht="24" customHeight="1" spans="1:9">
      <c r="A80" s="4" t="s">
        <v>245</v>
      </c>
      <c r="B80" s="5" t="s">
        <v>63</v>
      </c>
      <c r="C80" s="6"/>
      <c r="D80" s="5" t="s">
        <v>246</v>
      </c>
      <c r="E80" s="7">
        <v>110</v>
      </c>
      <c r="F80" s="8" t="s">
        <v>95</v>
      </c>
      <c r="G80" s="5" t="s">
        <v>96</v>
      </c>
      <c r="H80" s="5"/>
      <c r="I80" s="9"/>
    </row>
    <row r="81" ht="24" customHeight="1" spans="1:9">
      <c r="A81" s="4" t="s">
        <v>247</v>
      </c>
      <c r="B81" s="5" t="s">
        <v>63</v>
      </c>
      <c r="C81" s="6"/>
      <c r="D81" s="5" t="s">
        <v>248</v>
      </c>
      <c r="E81" s="7">
        <v>110</v>
      </c>
      <c r="F81" s="8" t="s">
        <v>95</v>
      </c>
      <c r="G81" s="5" t="s">
        <v>96</v>
      </c>
      <c r="H81" s="5"/>
      <c r="I81" s="9"/>
    </row>
    <row r="82" ht="24" customHeight="1" spans="1:9">
      <c r="A82" s="4" t="s">
        <v>249</v>
      </c>
      <c r="B82" s="5" t="s">
        <v>63</v>
      </c>
      <c r="C82" s="6"/>
      <c r="D82" s="5" t="s">
        <v>250</v>
      </c>
      <c r="E82" s="7">
        <v>110</v>
      </c>
      <c r="F82" s="8" t="s">
        <v>95</v>
      </c>
      <c r="G82" s="8" t="s">
        <v>113</v>
      </c>
      <c r="H82" s="5"/>
      <c r="I82" s="9"/>
    </row>
    <row r="83" ht="24" customHeight="1" spans="1:9">
      <c r="A83" s="4" t="s">
        <v>251</v>
      </c>
      <c r="B83" s="5" t="s">
        <v>63</v>
      </c>
      <c r="C83" s="6"/>
      <c r="D83" s="5" t="s">
        <v>252</v>
      </c>
      <c r="E83" s="7">
        <v>110</v>
      </c>
      <c r="F83" s="8" t="s">
        <v>95</v>
      </c>
      <c r="G83" s="8" t="s">
        <v>113</v>
      </c>
      <c r="H83" s="5"/>
      <c r="I83" s="9"/>
    </row>
    <row r="84" ht="24" customHeight="1" spans="1:9">
      <c r="A84" s="4" t="s">
        <v>253</v>
      </c>
      <c r="B84" s="5" t="s">
        <v>63</v>
      </c>
      <c r="C84" s="6"/>
      <c r="D84" s="5" t="s">
        <v>254</v>
      </c>
      <c r="E84" s="7">
        <v>110</v>
      </c>
      <c r="F84" s="8" t="s">
        <v>95</v>
      </c>
      <c r="G84" s="8" t="s">
        <v>113</v>
      </c>
      <c r="H84" s="5"/>
      <c r="I84" s="9"/>
    </row>
    <row r="85" ht="24" customHeight="1" spans="1:9">
      <c r="A85" s="4" t="s">
        <v>255</v>
      </c>
      <c r="B85" s="5" t="s">
        <v>63</v>
      </c>
      <c r="C85" s="6"/>
      <c r="D85" s="5" t="s">
        <v>256</v>
      </c>
      <c r="E85" s="7">
        <v>110</v>
      </c>
      <c r="F85" s="8" t="s">
        <v>86</v>
      </c>
      <c r="G85" s="5"/>
      <c r="H85" s="5"/>
      <c r="I85" s="9"/>
    </row>
    <row r="86" ht="24" customHeight="1" spans="1:9">
      <c r="A86" s="4" t="s">
        <v>257</v>
      </c>
      <c r="B86" s="5" t="s">
        <v>63</v>
      </c>
      <c r="C86" s="6"/>
      <c r="D86" s="5" t="s">
        <v>258</v>
      </c>
      <c r="E86" s="7">
        <v>110</v>
      </c>
      <c r="F86" s="8" t="s">
        <v>86</v>
      </c>
      <c r="G86" s="5"/>
      <c r="H86" s="5"/>
      <c r="I86" s="9"/>
    </row>
    <row r="87" ht="24" customHeight="1" spans="1:9">
      <c r="A87" s="4" t="s">
        <v>259</v>
      </c>
      <c r="B87" s="5" t="s">
        <v>63</v>
      </c>
      <c r="C87" s="6"/>
      <c r="D87" s="5" t="s">
        <v>260</v>
      </c>
      <c r="E87" s="7">
        <v>120</v>
      </c>
      <c r="F87" s="8" t="s">
        <v>95</v>
      </c>
      <c r="G87" s="8" t="s">
        <v>171</v>
      </c>
      <c r="H87" s="5"/>
      <c r="I87" s="9"/>
    </row>
    <row r="88" ht="24" customHeight="1" spans="1:9">
      <c r="A88" s="4" t="s">
        <v>261</v>
      </c>
      <c r="B88" s="5" t="s">
        <v>63</v>
      </c>
      <c r="C88" s="6"/>
      <c r="D88" s="5" t="s">
        <v>262</v>
      </c>
      <c r="E88" s="7">
        <v>120</v>
      </c>
      <c r="F88" s="8" t="s">
        <v>95</v>
      </c>
      <c r="G88" s="8" t="s">
        <v>171</v>
      </c>
      <c r="H88" s="5"/>
      <c r="I88" s="9"/>
    </row>
    <row r="89" ht="24" customHeight="1" spans="1:9">
      <c r="A89" s="4" t="s">
        <v>263</v>
      </c>
      <c r="B89" s="5" t="s">
        <v>63</v>
      </c>
      <c r="C89" s="6"/>
      <c r="D89" s="5" t="s">
        <v>264</v>
      </c>
      <c r="E89" s="7">
        <v>120</v>
      </c>
      <c r="F89" s="8" t="s">
        <v>95</v>
      </c>
      <c r="G89" s="8" t="s">
        <v>171</v>
      </c>
      <c r="H89" s="5"/>
      <c r="I89" s="9"/>
    </row>
    <row r="90" ht="24" customHeight="1" spans="1:9">
      <c r="A90" s="4" t="s">
        <v>265</v>
      </c>
      <c r="B90" s="5" t="s">
        <v>63</v>
      </c>
      <c r="C90" s="6"/>
      <c r="D90" s="5" t="s">
        <v>266</v>
      </c>
      <c r="E90" s="7">
        <v>120</v>
      </c>
      <c r="F90" s="8" t="s">
        <v>95</v>
      </c>
      <c r="G90" s="5" t="s">
        <v>230</v>
      </c>
      <c r="H90" s="5"/>
      <c r="I90" s="9"/>
    </row>
    <row r="91" ht="24" customHeight="1" spans="1:9">
      <c r="A91" s="4" t="s">
        <v>267</v>
      </c>
      <c r="B91" s="5" t="s">
        <v>63</v>
      </c>
      <c r="C91" s="6"/>
      <c r="D91" s="5" t="s">
        <v>268</v>
      </c>
      <c r="E91" s="7">
        <v>120</v>
      </c>
      <c r="F91" s="8" t="s">
        <v>95</v>
      </c>
      <c r="G91" s="5" t="s">
        <v>230</v>
      </c>
      <c r="H91" s="5"/>
      <c r="I91" s="9"/>
    </row>
    <row r="92" ht="24" customHeight="1" spans="1:9">
      <c r="A92" s="4" t="s">
        <v>269</v>
      </c>
      <c r="B92" s="5" t="s">
        <v>63</v>
      </c>
      <c r="C92" s="6"/>
      <c r="D92" s="5" t="s">
        <v>270</v>
      </c>
      <c r="E92" s="7">
        <v>120</v>
      </c>
      <c r="F92" s="8" t="s">
        <v>95</v>
      </c>
      <c r="G92" s="8" t="s">
        <v>113</v>
      </c>
      <c r="H92" s="5"/>
      <c r="I92" s="9"/>
    </row>
    <row r="93" ht="24" customHeight="1" spans="1:9">
      <c r="A93" s="4" t="s">
        <v>271</v>
      </c>
      <c r="B93" s="5" t="s">
        <v>63</v>
      </c>
      <c r="C93" s="6"/>
      <c r="D93" s="5" t="s">
        <v>272</v>
      </c>
      <c r="E93" s="7">
        <v>120</v>
      </c>
      <c r="F93" s="8" t="s">
        <v>95</v>
      </c>
      <c r="G93" s="8" t="s">
        <v>113</v>
      </c>
      <c r="H93" s="5"/>
      <c r="I93" s="9"/>
    </row>
    <row r="94" ht="24" customHeight="1" spans="1:9">
      <c r="A94" s="4" t="s">
        <v>273</v>
      </c>
      <c r="B94" s="5" t="s">
        <v>63</v>
      </c>
      <c r="C94" s="6"/>
      <c r="D94" s="5" t="s">
        <v>274</v>
      </c>
      <c r="E94" s="7">
        <v>130</v>
      </c>
      <c r="F94" s="8" t="s">
        <v>95</v>
      </c>
      <c r="G94" s="8" t="s">
        <v>113</v>
      </c>
      <c r="H94" s="5"/>
      <c r="I94" s="9"/>
    </row>
    <row r="95" ht="24" customHeight="1" spans="1:9">
      <c r="A95" s="4" t="s">
        <v>275</v>
      </c>
      <c r="B95" s="5" t="s">
        <v>63</v>
      </c>
      <c r="C95" s="6"/>
      <c r="D95" s="5" t="s">
        <v>276</v>
      </c>
      <c r="E95" s="7">
        <v>130</v>
      </c>
      <c r="F95" s="8" t="s">
        <v>86</v>
      </c>
      <c r="G95" s="5"/>
      <c r="H95" s="5"/>
      <c r="I95" s="9"/>
    </row>
    <row r="96" ht="24" customHeight="1" spans="1:9">
      <c r="A96" s="4" t="s">
        <v>277</v>
      </c>
      <c r="B96" s="5" t="s">
        <v>63</v>
      </c>
      <c r="C96" s="6"/>
      <c r="D96" s="5" t="s">
        <v>278</v>
      </c>
      <c r="E96" s="7">
        <v>130</v>
      </c>
      <c r="F96" s="8" t="s">
        <v>86</v>
      </c>
      <c r="G96" s="5"/>
      <c r="H96" s="5"/>
      <c r="I96" s="9"/>
    </row>
    <row r="97" ht="24" customHeight="1" spans="1:9">
      <c r="A97" s="4" t="s">
        <v>279</v>
      </c>
      <c r="B97" s="5" t="s">
        <v>63</v>
      </c>
      <c r="C97" s="6"/>
      <c r="D97" s="5" t="s">
        <v>280</v>
      </c>
      <c r="E97" s="7">
        <v>130</v>
      </c>
      <c r="F97" s="8" t="s">
        <v>95</v>
      </c>
      <c r="G97" s="8" t="s">
        <v>171</v>
      </c>
      <c r="H97" s="5"/>
      <c r="I97" s="9"/>
    </row>
    <row r="98" ht="24" customHeight="1" spans="1:9">
      <c r="A98" s="4" t="s">
        <v>281</v>
      </c>
      <c r="B98" s="5" t="s">
        <v>63</v>
      </c>
      <c r="C98" s="6"/>
      <c r="D98" s="5" t="s">
        <v>282</v>
      </c>
      <c r="E98" s="7">
        <v>130</v>
      </c>
      <c r="F98" s="8" t="s">
        <v>95</v>
      </c>
      <c r="G98" s="8" t="s">
        <v>171</v>
      </c>
      <c r="H98" s="5"/>
      <c r="I98" s="9"/>
    </row>
    <row r="99" ht="24" customHeight="1" spans="1:9">
      <c r="A99" s="4" t="s">
        <v>283</v>
      </c>
      <c r="B99" s="5" t="s">
        <v>63</v>
      </c>
      <c r="C99" s="6"/>
      <c r="D99" s="5" t="s">
        <v>284</v>
      </c>
      <c r="E99" s="7">
        <v>130</v>
      </c>
      <c r="F99" s="8" t="s">
        <v>95</v>
      </c>
      <c r="G99" s="8" t="s">
        <v>171</v>
      </c>
      <c r="H99" s="5"/>
      <c r="I99" s="9"/>
    </row>
    <row r="100" ht="24" customHeight="1" spans="1:9">
      <c r="A100" s="4" t="s">
        <v>285</v>
      </c>
      <c r="B100" s="5" t="s">
        <v>63</v>
      </c>
      <c r="C100" s="6"/>
      <c r="D100" s="5" t="s">
        <v>286</v>
      </c>
      <c r="E100" s="7">
        <v>130</v>
      </c>
      <c r="F100" s="8" t="s">
        <v>95</v>
      </c>
      <c r="G100" s="8" t="s">
        <v>171</v>
      </c>
      <c r="H100" s="5"/>
      <c r="I100" s="9"/>
    </row>
    <row r="101" ht="24" customHeight="1" spans="1:9">
      <c r="A101" s="4" t="s">
        <v>287</v>
      </c>
      <c r="B101" s="5" t="s">
        <v>63</v>
      </c>
      <c r="C101" s="6"/>
      <c r="D101" s="5" t="s">
        <v>288</v>
      </c>
      <c r="E101" s="7">
        <v>140</v>
      </c>
      <c r="F101" s="8" t="s">
        <v>95</v>
      </c>
      <c r="G101" s="8" t="s">
        <v>171</v>
      </c>
      <c r="H101" s="5"/>
      <c r="I101" s="9"/>
    </row>
    <row r="102" ht="24" customHeight="1" spans="1:9">
      <c r="A102" s="4" t="s">
        <v>289</v>
      </c>
      <c r="B102" s="5" t="s">
        <v>63</v>
      </c>
      <c r="C102" s="6"/>
      <c r="D102" s="5" t="s">
        <v>290</v>
      </c>
      <c r="E102" s="7">
        <v>140</v>
      </c>
      <c r="F102" s="8" t="s">
        <v>95</v>
      </c>
      <c r="G102" s="8" t="s">
        <v>171</v>
      </c>
      <c r="H102" s="5"/>
      <c r="I102" s="9"/>
    </row>
    <row r="103" ht="24" customHeight="1" spans="1:9">
      <c r="A103" s="4" t="s">
        <v>291</v>
      </c>
      <c r="B103" s="5" t="s">
        <v>63</v>
      </c>
      <c r="C103" s="6"/>
      <c r="D103" s="5" t="s">
        <v>292</v>
      </c>
      <c r="E103" s="7">
        <v>140</v>
      </c>
      <c r="F103" s="8" t="s">
        <v>95</v>
      </c>
      <c r="G103" s="8" t="s">
        <v>171</v>
      </c>
      <c r="H103" s="5"/>
      <c r="I103" s="9"/>
    </row>
    <row r="104" ht="24" customHeight="1" spans="1:9">
      <c r="A104" s="4" t="s">
        <v>293</v>
      </c>
      <c r="B104" s="5" t="s">
        <v>63</v>
      </c>
      <c r="C104" s="6"/>
      <c r="D104" s="5" t="s">
        <v>294</v>
      </c>
      <c r="E104" s="7">
        <v>140</v>
      </c>
      <c r="F104" s="8" t="s">
        <v>95</v>
      </c>
      <c r="G104" s="8" t="s">
        <v>171</v>
      </c>
      <c r="H104" s="5"/>
      <c r="I104" s="9"/>
    </row>
    <row r="105" ht="24" customHeight="1" spans="1:9">
      <c r="A105" s="4" t="s">
        <v>295</v>
      </c>
      <c r="B105" s="5" t="s">
        <v>63</v>
      </c>
      <c r="C105" s="6"/>
      <c r="D105" s="5" t="s">
        <v>296</v>
      </c>
      <c r="E105" s="7">
        <v>140</v>
      </c>
      <c r="F105" s="8" t="s">
        <v>95</v>
      </c>
      <c r="G105" s="8" t="s">
        <v>171</v>
      </c>
      <c r="H105" s="5"/>
      <c r="I105" s="9">
        <f>IFERROR(VLOOKUP(B105,弹簧设置!$A$6:$G$15,7,FALSE),"")</f>
        <v>0.789924128416829</v>
      </c>
    </row>
    <row r="106" ht="24" customHeight="1" spans="1:9">
      <c r="A106" s="4" t="s">
        <v>297</v>
      </c>
      <c r="B106" s="5" t="s">
        <v>63</v>
      </c>
      <c r="C106" s="6"/>
      <c r="D106" s="5" t="s">
        <v>298</v>
      </c>
      <c r="E106" s="7">
        <v>140</v>
      </c>
      <c r="F106" s="8" t="s">
        <v>86</v>
      </c>
      <c r="G106" s="5"/>
      <c r="H106" s="5"/>
      <c r="I106" s="9"/>
    </row>
    <row r="107" ht="24" customHeight="1" spans="1:9">
      <c r="A107" s="4" t="s">
        <v>299</v>
      </c>
      <c r="B107" s="5" t="s">
        <v>63</v>
      </c>
      <c r="C107" s="6"/>
      <c r="D107" s="5" t="s">
        <v>300</v>
      </c>
      <c r="E107" s="7">
        <v>140</v>
      </c>
      <c r="F107" s="8" t="s">
        <v>86</v>
      </c>
      <c r="G107" s="5"/>
      <c r="H107" s="5"/>
      <c r="I107" s="9"/>
    </row>
    <row r="108" ht="24" customHeight="1" spans="1:9">
      <c r="A108" s="4" t="s">
        <v>301</v>
      </c>
      <c r="B108" s="5" t="s">
        <v>63</v>
      </c>
      <c r="C108" s="6"/>
      <c r="D108" s="5"/>
      <c r="E108" s="7"/>
      <c r="F108" s="5"/>
      <c r="G108" s="5"/>
      <c r="H108" s="5"/>
      <c r="I108" s="9"/>
    </row>
    <row r="109" ht="24" customHeight="1" spans="1:9">
      <c r="A109" s="4" t="s">
        <v>302</v>
      </c>
      <c r="B109" s="5" t="s">
        <v>63</v>
      </c>
      <c r="C109" s="6"/>
      <c r="D109" s="5" t="s">
        <v>303</v>
      </c>
      <c r="E109" s="7">
        <v>-20</v>
      </c>
      <c r="F109" s="8" t="s">
        <v>86</v>
      </c>
      <c r="G109" s="5"/>
      <c r="H109" s="5"/>
      <c r="I109" s="9"/>
    </row>
    <row r="110" ht="24" customHeight="1" spans="1:9">
      <c r="A110" s="4" t="s">
        <v>304</v>
      </c>
      <c r="B110" s="5" t="s">
        <v>63</v>
      </c>
      <c r="C110" s="6"/>
      <c r="D110" s="5" t="s">
        <v>305</v>
      </c>
      <c r="E110" s="7">
        <v>-20</v>
      </c>
      <c r="F110" s="8" t="s">
        <v>86</v>
      </c>
      <c r="G110" s="5"/>
      <c r="H110" s="5"/>
      <c r="I110" s="9"/>
    </row>
    <row r="111" ht="24" customHeight="1" spans="1:9">
      <c r="A111" s="4" t="s">
        <v>306</v>
      </c>
      <c r="B111" s="5" t="s">
        <v>63</v>
      </c>
      <c r="C111" s="6"/>
      <c r="D111" s="5" t="s">
        <v>307</v>
      </c>
      <c r="E111" s="7">
        <v>-20</v>
      </c>
      <c r="F111" s="8" t="s">
        <v>95</v>
      </c>
      <c r="G111" s="8" t="s">
        <v>171</v>
      </c>
      <c r="H111" s="5"/>
      <c r="I111" s="9"/>
    </row>
    <row r="112" ht="24" customHeight="1" spans="1:9">
      <c r="A112" s="4" t="s">
        <v>308</v>
      </c>
      <c r="B112" s="5" t="s">
        <v>63</v>
      </c>
      <c r="C112" s="6"/>
      <c r="D112" s="5" t="s">
        <v>309</v>
      </c>
      <c r="E112" s="7">
        <v>-20</v>
      </c>
      <c r="F112" s="8" t="s">
        <v>95</v>
      </c>
      <c r="G112" s="8" t="s">
        <v>171</v>
      </c>
      <c r="H112" s="5"/>
      <c r="I112" s="9"/>
    </row>
    <row r="113" ht="24" customHeight="1" spans="1:9">
      <c r="A113" s="4" t="s">
        <v>310</v>
      </c>
      <c r="B113" s="5" t="s">
        <v>63</v>
      </c>
      <c r="C113" s="6"/>
      <c r="D113" s="5" t="s">
        <v>311</v>
      </c>
      <c r="E113" s="7">
        <v>-20</v>
      </c>
      <c r="F113" s="8" t="s">
        <v>95</v>
      </c>
      <c r="G113" s="8" t="s">
        <v>171</v>
      </c>
      <c r="H113" s="5"/>
      <c r="I113" s="9"/>
    </row>
    <row r="114" ht="24" customHeight="1" spans="1:9">
      <c r="A114" s="4" t="s">
        <v>312</v>
      </c>
      <c r="B114" s="5" t="s">
        <v>63</v>
      </c>
      <c r="C114" s="6"/>
      <c r="D114" s="5" t="s">
        <v>313</v>
      </c>
      <c r="E114" s="7">
        <v>-20</v>
      </c>
      <c r="F114" s="8" t="s">
        <v>95</v>
      </c>
      <c r="G114" s="8" t="s">
        <v>171</v>
      </c>
      <c r="H114" s="5"/>
      <c r="I114" s="9"/>
    </row>
    <row r="115" ht="24" customHeight="1" spans="1:9">
      <c r="A115" s="4" t="s">
        <v>314</v>
      </c>
      <c r="B115" s="5" t="s">
        <v>63</v>
      </c>
      <c r="C115" s="6"/>
      <c r="D115" s="5" t="s">
        <v>315</v>
      </c>
      <c r="E115" s="7">
        <v>-20</v>
      </c>
      <c r="F115" s="8" t="s">
        <v>95</v>
      </c>
      <c r="G115" s="8" t="s">
        <v>171</v>
      </c>
      <c r="H115" s="5"/>
      <c r="I115" s="9"/>
    </row>
    <row r="116" ht="24" customHeight="1" spans="1:9">
      <c r="A116" s="4" t="s">
        <v>316</v>
      </c>
      <c r="B116" s="5" t="s">
        <v>63</v>
      </c>
      <c r="C116" s="6"/>
      <c r="D116" s="5" t="s">
        <v>317</v>
      </c>
      <c r="E116" s="7">
        <v>-20</v>
      </c>
      <c r="F116" s="8" t="s">
        <v>95</v>
      </c>
      <c r="G116" s="8" t="s">
        <v>171</v>
      </c>
      <c r="H116" s="5"/>
      <c r="I116" s="9"/>
    </row>
    <row r="117" ht="24" customHeight="1" spans="1:9">
      <c r="A117" s="4" t="s">
        <v>318</v>
      </c>
      <c r="B117" s="5" t="s">
        <v>63</v>
      </c>
      <c r="C117" s="6"/>
      <c r="D117" s="5" t="s">
        <v>319</v>
      </c>
      <c r="E117" s="7">
        <v>-30</v>
      </c>
      <c r="F117" s="8" t="s">
        <v>95</v>
      </c>
      <c r="G117" s="8" t="s">
        <v>171</v>
      </c>
      <c r="H117" s="5"/>
      <c r="I117" s="9"/>
    </row>
    <row r="118" ht="24" customHeight="1" spans="1:9">
      <c r="A118" s="4" t="s">
        <v>320</v>
      </c>
      <c r="B118" s="5" t="s">
        <v>63</v>
      </c>
      <c r="C118" s="6"/>
      <c r="D118" s="5" t="s">
        <v>321</v>
      </c>
      <c r="E118" s="7">
        <v>-30</v>
      </c>
      <c r="F118" s="8" t="s">
        <v>95</v>
      </c>
      <c r="G118" s="5" t="s">
        <v>96</v>
      </c>
      <c r="H118" s="5"/>
      <c r="I118" s="9"/>
    </row>
    <row r="119" ht="24" customHeight="1" spans="1:9">
      <c r="A119" s="4" t="s">
        <v>322</v>
      </c>
      <c r="B119" s="5" t="s">
        <v>63</v>
      </c>
      <c r="C119" s="6"/>
      <c r="D119" s="5" t="s">
        <v>323</v>
      </c>
      <c r="E119" s="7">
        <v>-30</v>
      </c>
      <c r="F119" s="8" t="s">
        <v>95</v>
      </c>
      <c r="G119" s="5" t="s">
        <v>96</v>
      </c>
      <c r="H119" s="5"/>
      <c r="I119" s="9"/>
    </row>
    <row r="120" ht="24" customHeight="1" spans="1:9">
      <c r="A120" s="4" t="s">
        <v>324</v>
      </c>
      <c r="B120" s="5" t="s">
        <v>63</v>
      </c>
      <c r="C120" s="6"/>
      <c r="D120" s="5" t="s">
        <v>325</v>
      </c>
      <c r="E120" s="7">
        <v>-30</v>
      </c>
      <c r="F120" s="8" t="s">
        <v>95</v>
      </c>
      <c r="G120" s="5" t="s">
        <v>96</v>
      </c>
      <c r="H120" s="5"/>
      <c r="I120" s="9"/>
    </row>
    <row r="121" ht="24" customHeight="1" spans="1:9">
      <c r="A121" s="4" t="s">
        <v>326</v>
      </c>
      <c r="B121" s="5" t="s">
        <v>63</v>
      </c>
      <c r="C121" s="6"/>
      <c r="D121" s="5" t="s">
        <v>327</v>
      </c>
      <c r="E121" s="7">
        <v>-30</v>
      </c>
      <c r="F121" s="8" t="s">
        <v>95</v>
      </c>
      <c r="G121" s="8" t="s">
        <v>230</v>
      </c>
      <c r="H121" s="5"/>
      <c r="I121" s="9"/>
    </row>
    <row r="122" ht="24" customHeight="1" spans="1:9">
      <c r="A122" s="4" t="s">
        <v>328</v>
      </c>
      <c r="B122" s="5" t="s">
        <v>63</v>
      </c>
      <c r="C122" s="6"/>
      <c r="D122" s="5" t="s">
        <v>329</v>
      </c>
      <c r="E122" s="7">
        <v>-30</v>
      </c>
      <c r="F122" s="8" t="s">
        <v>95</v>
      </c>
      <c r="G122" s="8" t="s">
        <v>230</v>
      </c>
      <c r="H122" s="5"/>
      <c r="I122" s="9"/>
    </row>
    <row r="123" ht="24" customHeight="1" spans="1:9">
      <c r="A123" s="4" t="s">
        <v>330</v>
      </c>
      <c r="B123" s="5" t="s">
        <v>63</v>
      </c>
      <c r="C123" s="6"/>
      <c r="D123" s="5" t="s">
        <v>331</v>
      </c>
      <c r="E123" s="7">
        <v>-30</v>
      </c>
      <c r="F123" s="8" t="s">
        <v>95</v>
      </c>
      <c r="G123" s="8" t="s">
        <v>230</v>
      </c>
      <c r="H123" s="5"/>
      <c r="I123" s="9"/>
    </row>
    <row r="124" ht="24" customHeight="1" spans="1:9">
      <c r="A124" s="4" t="s">
        <v>332</v>
      </c>
      <c r="B124" s="5" t="s">
        <v>63</v>
      </c>
      <c r="C124" s="6"/>
      <c r="D124" s="5" t="s">
        <v>333</v>
      </c>
      <c r="E124" s="7">
        <v>-40</v>
      </c>
      <c r="F124" s="8" t="s">
        <v>95</v>
      </c>
      <c r="G124" s="8" t="s">
        <v>334</v>
      </c>
      <c r="H124" s="5"/>
      <c r="I124" s="9"/>
    </row>
    <row r="125" ht="24" customHeight="1" spans="1:9">
      <c r="A125" s="4" t="s">
        <v>335</v>
      </c>
      <c r="B125" s="5" t="s">
        <v>63</v>
      </c>
      <c r="C125" s="6"/>
      <c r="D125" s="5" t="s">
        <v>336</v>
      </c>
      <c r="E125" s="7">
        <v>-40</v>
      </c>
      <c r="F125" s="8" t="s">
        <v>95</v>
      </c>
      <c r="G125" s="8" t="s">
        <v>334</v>
      </c>
      <c r="H125" s="5"/>
      <c r="I125" s="9"/>
    </row>
    <row r="126" ht="24" customHeight="1" spans="1:9">
      <c r="A126" s="4" t="s">
        <v>337</v>
      </c>
      <c r="B126" s="5" t="s">
        <v>63</v>
      </c>
      <c r="C126" s="6"/>
      <c r="D126" s="5" t="s">
        <v>338</v>
      </c>
      <c r="E126" s="7">
        <v>-40</v>
      </c>
      <c r="F126" s="8" t="s">
        <v>95</v>
      </c>
      <c r="G126" s="8" t="s">
        <v>334</v>
      </c>
      <c r="H126" s="5"/>
      <c r="I126" s="9"/>
    </row>
    <row r="127" ht="24" customHeight="1" spans="1:9">
      <c r="A127" s="4" t="s">
        <v>339</v>
      </c>
      <c r="B127" s="5" t="s">
        <v>63</v>
      </c>
      <c r="C127" s="6"/>
      <c r="D127" s="5" t="s">
        <v>340</v>
      </c>
      <c r="E127" s="7">
        <v>-40</v>
      </c>
      <c r="F127" s="8" t="s">
        <v>95</v>
      </c>
      <c r="G127" s="8" t="s">
        <v>120</v>
      </c>
      <c r="H127" s="5"/>
      <c r="I127" s="9"/>
    </row>
    <row r="128" ht="24" customHeight="1" spans="1:9">
      <c r="A128" s="4" t="s">
        <v>341</v>
      </c>
      <c r="B128" s="5" t="s">
        <v>63</v>
      </c>
      <c r="C128" s="6"/>
      <c r="D128" s="5" t="s">
        <v>342</v>
      </c>
      <c r="E128" s="7">
        <v>-40</v>
      </c>
      <c r="F128" s="8" t="s">
        <v>95</v>
      </c>
      <c r="G128" s="8" t="s">
        <v>120</v>
      </c>
      <c r="H128" s="5"/>
      <c r="I128" s="9"/>
    </row>
    <row r="129" ht="24" customHeight="1" spans="1:9">
      <c r="A129" s="4" t="s">
        <v>343</v>
      </c>
      <c r="B129" s="5" t="s">
        <v>63</v>
      </c>
      <c r="C129" s="6"/>
      <c r="D129" s="5" t="s">
        <v>344</v>
      </c>
      <c r="E129" s="7">
        <v>-40</v>
      </c>
      <c r="F129" s="8" t="s">
        <v>95</v>
      </c>
      <c r="G129" s="8" t="s">
        <v>113</v>
      </c>
      <c r="H129" s="5"/>
      <c r="I129" s="9"/>
    </row>
    <row r="130" ht="24" customHeight="1" spans="1:9">
      <c r="A130" s="4" t="s">
        <v>345</v>
      </c>
      <c r="B130" s="5" t="s">
        <v>63</v>
      </c>
      <c r="C130" s="6"/>
      <c r="D130" s="5" t="s">
        <v>346</v>
      </c>
      <c r="E130" s="7">
        <v>-40</v>
      </c>
      <c r="F130" s="8" t="s">
        <v>95</v>
      </c>
      <c r="G130" s="8" t="s">
        <v>113</v>
      </c>
      <c r="H130" s="5"/>
      <c r="I130" s="9"/>
    </row>
    <row r="131" ht="24" customHeight="1" spans="1:9">
      <c r="A131" s="4" t="s">
        <v>347</v>
      </c>
      <c r="B131" s="5" t="s">
        <v>63</v>
      </c>
      <c r="C131" s="6"/>
      <c r="D131" s="5" t="s">
        <v>348</v>
      </c>
      <c r="E131" s="7">
        <v>-50</v>
      </c>
      <c r="F131" s="8" t="s">
        <v>95</v>
      </c>
      <c r="G131" s="8" t="s">
        <v>129</v>
      </c>
      <c r="H131" s="5"/>
      <c r="I131" s="9"/>
    </row>
    <row r="132" ht="24" customHeight="1" spans="1:9">
      <c r="A132" s="4" t="s">
        <v>349</v>
      </c>
      <c r="B132" s="5" t="s">
        <v>63</v>
      </c>
      <c r="C132" s="6"/>
      <c r="D132" s="5" t="s">
        <v>350</v>
      </c>
      <c r="E132" s="7">
        <v>-50</v>
      </c>
      <c r="F132" s="8" t="s">
        <v>95</v>
      </c>
      <c r="G132" s="8" t="s">
        <v>171</v>
      </c>
      <c r="H132" s="5"/>
      <c r="I132" s="9"/>
    </row>
    <row r="133" ht="24" customHeight="1" spans="1:9">
      <c r="A133" s="4" t="s">
        <v>351</v>
      </c>
      <c r="B133" s="5" t="s">
        <v>63</v>
      </c>
      <c r="C133" s="6"/>
      <c r="D133" s="5" t="s">
        <v>352</v>
      </c>
      <c r="E133" s="7">
        <v>-50</v>
      </c>
      <c r="F133" s="8" t="s">
        <v>95</v>
      </c>
      <c r="G133" s="8" t="s">
        <v>171</v>
      </c>
      <c r="H133" s="5"/>
      <c r="I133" s="9"/>
    </row>
    <row r="134" ht="24" customHeight="1" spans="1:9">
      <c r="A134" s="4" t="s">
        <v>353</v>
      </c>
      <c r="B134" s="5" t="s">
        <v>63</v>
      </c>
      <c r="C134" s="6"/>
      <c r="D134" s="5" t="s">
        <v>354</v>
      </c>
      <c r="E134" s="7">
        <v>-50</v>
      </c>
      <c r="F134" s="8" t="s">
        <v>95</v>
      </c>
      <c r="G134" s="8" t="s">
        <v>171</v>
      </c>
      <c r="H134" s="5"/>
      <c r="I134" s="9"/>
    </row>
    <row r="135" ht="24" customHeight="1" spans="1:9">
      <c r="A135" s="4" t="s">
        <v>355</v>
      </c>
      <c r="B135" s="5" t="s">
        <v>63</v>
      </c>
      <c r="C135" s="6"/>
      <c r="D135" s="5" t="s">
        <v>356</v>
      </c>
      <c r="E135" s="7">
        <v>-50</v>
      </c>
      <c r="F135" s="8" t="s">
        <v>95</v>
      </c>
      <c r="G135" s="8" t="s">
        <v>134</v>
      </c>
      <c r="H135" s="5"/>
      <c r="I135" s="9"/>
    </row>
    <row r="136" ht="24" customHeight="1" spans="1:9">
      <c r="A136" s="4" t="s">
        <v>357</v>
      </c>
      <c r="B136" s="5" t="s">
        <v>63</v>
      </c>
      <c r="C136" s="6"/>
      <c r="D136" s="5" t="s">
        <v>358</v>
      </c>
      <c r="E136" s="7">
        <v>-50</v>
      </c>
      <c r="F136" s="8" t="s">
        <v>95</v>
      </c>
      <c r="G136" s="8" t="s">
        <v>134</v>
      </c>
      <c r="H136" s="5"/>
      <c r="I136" s="9"/>
    </row>
    <row r="137" ht="24" customHeight="1" spans="1:9">
      <c r="A137" s="4" t="s">
        <v>359</v>
      </c>
      <c r="B137" s="5" t="s">
        <v>63</v>
      </c>
      <c r="C137" s="6"/>
      <c r="D137" s="5" t="s">
        <v>360</v>
      </c>
      <c r="E137" s="7">
        <v>-50</v>
      </c>
      <c r="F137" s="8" t="s">
        <v>95</v>
      </c>
      <c r="G137" s="8" t="s">
        <v>230</v>
      </c>
      <c r="H137" s="5"/>
      <c r="I137" s="9"/>
    </row>
    <row r="138" ht="24" customHeight="1" spans="1:9">
      <c r="A138" s="4" t="s">
        <v>361</v>
      </c>
      <c r="B138" s="5" t="s">
        <v>63</v>
      </c>
      <c r="C138" s="6"/>
      <c r="D138" s="5" t="s">
        <v>362</v>
      </c>
      <c r="E138" s="7">
        <v>-60</v>
      </c>
      <c r="F138" s="8" t="s">
        <v>95</v>
      </c>
      <c r="G138" s="8" t="s">
        <v>230</v>
      </c>
      <c r="H138" s="5"/>
      <c r="I138" s="9"/>
    </row>
    <row r="139" ht="24" customHeight="1" spans="1:9">
      <c r="A139" s="4" t="s">
        <v>363</v>
      </c>
      <c r="B139" s="5" t="s">
        <v>63</v>
      </c>
      <c r="C139" s="6"/>
      <c r="D139" s="5" t="s">
        <v>364</v>
      </c>
      <c r="E139" s="7">
        <v>-60</v>
      </c>
      <c r="F139" s="8" t="s">
        <v>95</v>
      </c>
      <c r="G139" s="8" t="s">
        <v>184</v>
      </c>
      <c r="H139" s="5"/>
      <c r="I139" s="9"/>
    </row>
    <row r="140" ht="24" customHeight="1" spans="1:9">
      <c r="A140" s="4" t="s">
        <v>365</v>
      </c>
      <c r="B140" s="5" t="s">
        <v>63</v>
      </c>
      <c r="C140" s="6"/>
      <c r="D140" s="5" t="s">
        <v>366</v>
      </c>
      <c r="E140" s="7">
        <v>-60</v>
      </c>
      <c r="F140" s="8" t="s">
        <v>95</v>
      </c>
      <c r="G140" s="8" t="s">
        <v>184</v>
      </c>
      <c r="H140" s="5"/>
      <c r="I140" s="9"/>
    </row>
    <row r="141" ht="24" customHeight="1" spans="1:9">
      <c r="A141" s="4" t="s">
        <v>367</v>
      </c>
      <c r="B141" s="5" t="s">
        <v>63</v>
      </c>
      <c r="C141" s="6"/>
      <c r="D141" s="5" t="s">
        <v>368</v>
      </c>
      <c r="E141" s="7">
        <v>-60</v>
      </c>
      <c r="F141" s="8" t="s">
        <v>95</v>
      </c>
      <c r="G141" s="8" t="s">
        <v>184</v>
      </c>
      <c r="H141" s="5"/>
      <c r="I141" s="9"/>
    </row>
    <row r="142" ht="24" customHeight="1" spans="1:9">
      <c r="A142" s="4" t="s">
        <v>369</v>
      </c>
      <c r="B142" s="5" t="s">
        <v>63</v>
      </c>
      <c r="C142" s="6"/>
      <c r="D142" s="5" t="s">
        <v>370</v>
      </c>
      <c r="E142" s="7">
        <v>-60</v>
      </c>
      <c r="F142" s="8" t="s">
        <v>95</v>
      </c>
      <c r="G142" s="8" t="s">
        <v>184</v>
      </c>
      <c r="H142" s="5"/>
      <c r="I142" s="9"/>
    </row>
    <row r="143" ht="24" customHeight="1" spans="1:9">
      <c r="A143" s="4" t="s">
        <v>371</v>
      </c>
      <c r="B143" s="5" t="s">
        <v>63</v>
      </c>
      <c r="C143" s="6"/>
      <c r="D143" s="5" t="s">
        <v>372</v>
      </c>
      <c r="E143" s="7">
        <v>-60</v>
      </c>
      <c r="F143" s="8" t="s">
        <v>95</v>
      </c>
      <c r="G143" s="5" t="s">
        <v>120</v>
      </c>
      <c r="H143" s="5"/>
      <c r="I143" s="9"/>
    </row>
    <row r="144" ht="24" customHeight="1" spans="1:9">
      <c r="A144" s="4" t="s">
        <v>373</v>
      </c>
      <c r="B144" s="5" t="s">
        <v>63</v>
      </c>
      <c r="C144" s="6"/>
      <c r="D144" s="5" t="s">
        <v>374</v>
      </c>
      <c r="E144" s="7">
        <v>-60</v>
      </c>
      <c r="F144" s="8" t="s">
        <v>95</v>
      </c>
      <c r="G144" s="5" t="s">
        <v>120</v>
      </c>
      <c r="H144" s="5"/>
      <c r="I144" s="9"/>
    </row>
    <row r="145" ht="24" customHeight="1" spans="1:9">
      <c r="A145" s="4" t="s">
        <v>375</v>
      </c>
      <c r="B145" s="5" t="s">
        <v>63</v>
      </c>
      <c r="C145" s="6"/>
      <c r="D145" s="5" t="s">
        <v>376</v>
      </c>
      <c r="E145" s="7">
        <v>-70</v>
      </c>
      <c r="F145" s="8" t="s">
        <v>95</v>
      </c>
      <c r="G145" s="5" t="s">
        <v>334</v>
      </c>
      <c r="H145" s="5"/>
      <c r="I145" s="9"/>
    </row>
    <row r="146" ht="24" customHeight="1" spans="1:9">
      <c r="A146" s="4" t="s">
        <v>377</v>
      </c>
      <c r="B146" s="5" t="s">
        <v>63</v>
      </c>
      <c r="C146" s="6"/>
      <c r="D146" s="5" t="s">
        <v>378</v>
      </c>
      <c r="E146" s="7">
        <v>-70</v>
      </c>
      <c r="F146" s="8" t="s">
        <v>95</v>
      </c>
      <c r="G146" s="5" t="s">
        <v>334</v>
      </c>
      <c r="H146" s="5"/>
      <c r="I146" s="9"/>
    </row>
    <row r="147" ht="24" customHeight="1" spans="1:9">
      <c r="A147" s="4" t="s">
        <v>379</v>
      </c>
      <c r="B147" s="5" t="s">
        <v>63</v>
      </c>
      <c r="C147" s="6"/>
      <c r="D147" s="5" t="s">
        <v>380</v>
      </c>
      <c r="E147" s="7">
        <v>-70</v>
      </c>
      <c r="F147" s="8" t="s">
        <v>95</v>
      </c>
      <c r="G147" s="8" t="s">
        <v>171</v>
      </c>
      <c r="H147" s="5"/>
      <c r="I147" s="9"/>
    </row>
    <row r="148" ht="24" customHeight="1" spans="1:9">
      <c r="A148" s="4" t="s">
        <v>381</v>
      </c>
      <c r="B148" s="5" t="s">
        <v>63</v>
      </c>
      <c r="C148" s="6"/>
      <c r="D148" s="5" t="s">
        <v>382</v>
      </c>
      <c r="E148" s="7">
        <v>-70</v>
      </c>
      <c r="F148" s="8" t="s">
        <v>95</v>
      </c>
      <c r="G148" s="8" t="s">
        <v>171</v>
      </c>
      <c r="H148" s="5"/>
      <c r="I148" s="9"/>
    </row>
    <row r="149" ht="24" customHeight="1" spans="1:9">
      <c r="A149" s="4" t="s">
        <v>383</v>
      </c>
      <c r="B149" s="5" t="s">
        <v>63</v>
      </c>
      <c r="C149" s="6"/>
      <c r="D149" s="5" t="s">
        <v>384</v>
      </c>
      <c r="E149" s="7">
        <v>-70</v>
      </c>
      <c r="F149" s="8" t="s">
        <v>95</v>
      </c>
      <c r="G149" s="8" t="s">
        <v>171</v>
      </c>
      <c r="H149" s="5"/>
      <c r="I149" s="9"/>
    </row>
    <row r="150" ht="24" customHeight="1" spans="1:9">
      <c r="A150" s="4" t="s">
        <v>385</v>
      </c>
      <c r="B150" s="5" t="s">
        <v>63</v>
      </c>
      <c r="C150" s="6"/>
      <c r="D150" s="5" t="s">
        <v>386</v>
      </c>
      <c r="E150" s="7">
        <v>-70</v>
      </c>
      <c r="F150" s="8" t="s">
        <v>95</v>
      </c>
      <c r="G150" s="8" t="s">
        <v>171</v>
      </c>
      <c r="H150" s="5"/>
      <c r="I150" s="9"/>
    </row>
    <row r="151" ht="24" customHeight="1" spans="1:9">
      <c r="A151" s="4" t="s">
        <v>387</v>
      </c>
      <c r="B151" s="5" t="s">
        <v>63</v>
      </c>
      <c r="C151" s="6"/>
      <c r="D151" s="5" t="s">
        <v>388</v>
      </c>
      <c r="E151" s="7">
        <v>-70</v>
      </c>
      <c r="F151" s="8" t="s">
        <v>95</v>
      </c>
      <c r="G151" s="8" t="s">
        <v>171</v>
      </c>
      <c r="H151" s="5"/>
      <c r="I151" s="9"/>
    </row>
    <row r="152" ht="24" customHeight="1" spans="1:9">
      <c r="A152" s="4" t="s">
        <v>389</v>
      </c>
      <c r="B152" s="5" t="s">
        <v>63</v>
      </c>
      <c r="C152" s="6"/>
      <c r="D152" s="5" t="s">
        <v>390</v>
      </c>
      <c r="E152" s="7">
        <v>-80</v>
      </c>
      <c r="F152" s="8" t="s">
        <v>86</v>
      </c>
      <c r="G152" s="5"/>
      <c r="H152" s="5"/>
      <c r="I152" s="9"/>
    </row>
    <row r="153" ht="24" customHeight="1" spans="1:9">
      <c r="A153" s="4" t="s">
        <v>391</v>
      </c>
      <c r="B153" s="5" t="s">
        <v>63</v>
      </c>
      <c r="C153" s="6"/>
      <c r="D153" s="5" t="s">
        <v>392</v>
      </c>
      <c r="E153" s="7">
        <v>-80</v>
      </c>
      <c r="F153" s="8" t="s">
        <v>86</v>
      </c>
      <c r="G153" s="5"/>
      <c r="H153" s="5"/>
      <c r="I153" s="9"/>
    </row>
    <row r="154" ht="24" customHeight="1" spans="1:9">
      <c r="A154" s="4" t="s">
        <v>393</v>
      </c>
      <c r="B154" s="5" t="s">
        <v>63</v>
      </c>
      <c r="C154" s="6"/>
      <c r="D154" s="5" t="s">
        <v>394</v>
      </c>
      <c r="E154" s="7">
        <v>-80</v>
      </c>
      <c r="F154" s="8" t="s">
        <v>95</v>
      </c>
      <c r="G154" s="8" t="s">
        <v>113</v>
      </c>
      <c r="H154" s="5"/>
      <c r="I154" s="9"/>
    </row>
    <row r="155" ht="24" customHeight="1" spans="1:9">
      <c r="A155" s="4" t="s">
        <v>395</v>
      </c>
      <c r="B155" s="5" t="s">
        <v>63</v>
      </c>
      <c r="C155" s="6"/>
      <c r="D155" s="5" t="s">
        <v>396</v>
      </c>
      <c r="E155" s="7">
        <v>-80</v>
      </c>
      <c r="F155" s="8" t="s">
        <v>95</v>
      </c>
      <c r="G155" s="8" t="s">
        <v>113</v>
      </c>
      <c r="H155" s="5"/>
      <c r="I155" s="9"/>
    </row>
    <row r="156" ht="24" customHeight="1" spans="1:9">
      <c r="A156" s="4" t="s">
        <v>397</v>
      </c>
      <c r="B156" s="5" t="s">
        <v>63</v>
      </c>
      <c r="C156" s="6"/>
      <c r="D156" s="5" t="s">
        <v>398</v>
      </c>
      <c r="E156" s="7">
        <v>-80</v>
      </c>
      <c r="F156" s="8" t="s">
        <v>95</v>
      </c>
      <c r="G156" s="5" t="s">
        <v>184</v>
      </c>
      <c r="H156" s="5"/>
      <c r="I156" s="9"/>
    </row>
    <row r="157" ht="24" customHeight="1" spans="1:9">
      <c r="A157" s="4" t="s">
        <v>399</v>
      </c>
      <c r="B157" s="5" t="s">
        <v>63</v>
      </c>
      <c r="C157" s="6"/>
      <c r="D157" s="5" t="s">
        <v>400</v>
      </c>
      <c r="E157" s="7">
        <v>-80</v>
      </c>
      <c r="F157" s="8" t="s">
        <v>95</v>
      </c>
      <c r="G157" s="5" t="s">
        <v>184</v>
      </c>
      <c r="H157" s="5"/>
      <c r="I157" s="9"/>
    </row>
    <row r="158" ht="24" customHeight="1" spans="1:9">
      <c r="A158" s="4" t="s">
        <v>401</v>
      </c>
      <c r="B158" s="5" t="s">
        <v>63</v>
      </c>
      <c r="C158" s="6"/>
      <c r="D158" s="5" t="s">
        <v>402</v>
      </c>
      <c r="E158" s="7">
        <v>-80</v>
      </c>
      <c r="F158" s="8" t="s">
        <v>95</v>
      </c>
      <c r="G158" s="5" t="s">
        <v>184</v>
      </c>
      <c r="H158" s="5"/>
      <c r="I158" s="9"/>
    </row>
    <row r="159" ht="24" customHeight="1" spans="1:9">
      <c r="A159" s="4" t="s">
        <v>403</v>
      </c>
      <c r="B159" s="5" t="s">
        <v>63</v>
      </c>
      <c r="C159" s="6"/>
      <c r="D159" s="5" t="s">
        <v>404</v>
      </c>
      <c r="E159" s="7">
        <v>-90</v>
      </c>
      <c r="F159" s="8" t="s">
        <v>95</v>
      </c>
      <c r="G159" s="8" t="s">
        <v>230</v>
      </c>
      <c r="H159" s="5"/>
      <c r="I159" s="9"/>
    </row>
    <row r="160" ht="24" customHeight="1" spans="1:9">
      <c r="A160" s="4" t="s">
        <v>405</v>
      </c>
      <c r="B160" s="5" t="s">
        <v>63</v>
      </c>
      <c r="C160" s="6"/>
      <c r="D160" s="5" t="s">
        <v>406</v>
      </c>
      <c r="E160" s="7">
        <v>-90</v>
      </c>
      <c r="F160" s="8" t="s">
        <v>95</v>
      </c>
      <c r="G160" s="8" t="s">
        <v>230</v>
      </c>
      <c r="H160" s="5"/>
      <c r="I160" s="9"/>
    </row>
    <row r="161" ht="24" customHeight="1" spans="1:9">
      <c r="A161" s="4" t="s">
        <v>407</v>
      </c>
      <c r="B161" s="5" t="s">
        <v>63</v>
      </c>
      <c r="C161" s="6"/>
      <c r="D161" s="5" t="s">
        <v>408</v>
      </c>
      <c r="E161" s="7">
        <v>-90</v>
      </c>
      <c r="F161" s="8" t="s">
        <v>95</v>
      </c>
      <c r="G161" s="5" t="s">
        <v>96</v>
      </c>
      <c r="H161" s="5"/>
      <c r="I161" s="9"/>
    </row>
    <row r="162" ht="24" customHeight="1" spans="1:9">
      <c r="A162" s="4" t="s">
        <v>409</v>
      </c>
      <c r="B162" s="5" t="s">
        <v>63</v>
      </c>
      <c r="C162" s="6"/>
      <c r="D162" s="5" t="s">
        <v>410</v>
      </c>
      <c r="E162" s="7">
        <v>-90</v>
      </c>
      <c r="F162" s="8" t="s">
        <v>95</v>
      </c>
      <c r="G162" s="5" t="s">
        <v>96</v>
      </c>
      <c r="H162" s="5"/>
      <c r="I162" s="9"/>
    </row>
    <row r="163" ht="24" customHeight="1" spans="1:9">
      <c r="A163" s="4" t="s">
        <v>411</v>
      </c>
      <c r="B163" s="5" t="s">
        <v>63</v>
      </c>
      <c r="C163" s="6"/>
      <c r="D163" s="5" t="s">
        <v>412</v>
      </c>
      <c r="E163" s="7">
        <v>-90</v>
      </c>
      <c r="F163" s="8" t="s">
        <v>95</v>
      </c>
      <c r="G163" s="5" t="s">
        <v>96</v>
      </c>
      <c r="H163" s="5"/>
      <c r="I163" s="9"/>
    </row>
    <row r="164" ht="24" customHeight="1" spans="1:9">
      <c r="A164" s="4" t="s">
        <v>413</v>
      </c>
      <c r="B164" s="5" t="s">
        <v>63</v>
      </c>
      <c r="C164" s="6"/>
      <c r="D164" s="5" t="s">
        <v>414</v>
      </c>
      <c r="E164" s="7">
        <v>-90</v>
      </c>
      <c r="F164" s="8" t="s">
        <v>95</v>
      </c>
      <c r="G164" s="8" t="s">
        <v>171</v>
      </c>
      <c r="H164" s="5"/>
      <c r="I164" s="9"/>
    </row>
    <row r="165" ht="24" customHeight="1" spans="1:9">
      <c r="A165" s="4" t="s">
        <v>415</v>
      </c>
      <c r="B165" s="5" t="s">
        <v>63</v>
      </c>
      <c r="C165" s="6"/>
      <c r="D165" s="5" t="s">
        <v>416</v>
      </c>
      <c r="E165" s="7">
        <v>-90</v>
      </c>
      <c r="F165" s="8" t="s">
        <v>95</v>
      </c>
      <c r="G165" s="8" t="s">
        <v>171</v>
      </c>
      <c r="H165" s="5"/>
      <c r="I165" s="9"/>
    </row>
    <row r="166" ht="24" customHeight="1" spans="1:9">
      <c r="A166" s="4" t="s">
        <v>417</v>
      </c>
      <c r="B166" s="5" t="s">
        <v>63</v>
      </c>
      <c r="C166" s="6"/>
      <c r="D166" s="5" t="s">
        <v>418</v>
      </c>
      <c r="E166" s="7">
        <v>-100</v>
      </c>
      <c r="F166" s="8" t="s">
        <v>95</v>
      </c>
      <c r="G166" s="5" t="s">
        <v>110</v>
      </c>
      <c r="H166" s="5"/>
      <c r="I166" s="9"/>
    </row>
    <row r="167" ht="24" customHeight="1" spans="1:9">
      <c r="A167" s="4" t="s">
        <v>419</v>
      </c>
      <c r="B167" s="5" t="s">
        <v>63</v>
      </c>
      <c r="C167" s="6"/>
      <c r="D167" s="5" t="s">
        <v>420</v>
      </c>
      <c r="E167" s="7">
        <v>-100</v>
      </c>
      <c r="F167" s="8" t="s">
        <v>95</v>
      </c>
      <c r="G167" s="5" t="s">
        <v>110</v>
      </c>
      <c r="H167" s="5"/>
      <c r="I167" s="9"/>
    </row>
    <row r="168" ht="24" customHeight="1" spans="1:9">
      <c r="A168" s="4" t="s">
        <v>421</v>
      </c>
      <c r="B168" s="5" t="s">
        <v>63</v>
      </c>
      <c r="C168" s="6"/>
      <c r="D168" s="5" t="s">
        <v>422</v>
      </c>
      <c r="E168" s="7">
        <v>-100</v>
      </c>
      <c r="F168" s="8" t="s">
        <v>95</v>
      </c>
      <c r="G168" s="5" t="s">
        <v>107</v>
      </c>
      <c r="H168" s="5"/>
      <c r="I168" s="9"/>
    </row>
    <row r="169" ht="24" customHeight="1" spans="1:9">
      <c r="A169" s="4" t="s">
        <v>423</v>
      </c>
      <c r="B169" s="5" t="s">
        <v>63</v>
      </c>
      <c r="C169" s="6"/>
      <c r="D169" s="5" t="s">
        <v>424</v>
      </c>
      <c r="E169" s="7">
        <v>-100</v>
      </c>
      <c r="F169" s="8" t="s">
        <v>95</v>
      </c>
      <c r="G169" s="5" t="s">
        <v>107</v>
      </c>
      <c r="H169" s="5"/>
      <c r="I169" s="9"/>
    </row>
    <row r="170" ht="24" customHeight="1" spans="1:9">
      <c r="A170" s="4" t="s">
        <v>425</v>
      </c>
      <c r="B170" s="5" t="s">
        <v>63</v>
      </c>
      <c r="C170" s="6"/>
      <c r="D170" s="5" t="s">
        <v>426</v>
      </c>
      <c r="E170" s="7">
        <v>-100</v>
      </c>
      <c r="F170" s="8" t="s">
        <v>95</v>
      </c>
      <c r="G170" s="8" t="s">
        <v>334</v>
      </c>
      <c r="H170" s="5"/>
      <c r="I170" s="9"/>
    </row>
    <row r="171" ht="24" customHeight="1" spans="1:9">
      <c r="A171" s="4" t="s">
        <v>427</v>
      </c>
      <c r="B171" s="5" t="s">
        <v>63</v>
      </c>
      <c r="C171" s="6"/>
      <c r="D171" s="5" t="s">
        <v>428</v>
      </c>
      <c r="E171" s="7">
        <v>-90</v>
      </c>
      <c r="F171" s="8" t="s">
        <v>95</v>
      </c>
      <c r="G171" s="8" t="s">
        <v>334</v>
      </c>
      <c r="H171" s="5"/>
      <c r="I171" s="9"/>
    </row>
    <row r="172" ht="24" customHeight="1" spans="1:9">
      <c r="A172" s="4" t="s">
        <v>429</v>
      </c>
      <c r="B172" s="5" t="s">
        <v>63</v>
      </c>
      <c r="C172" s="6"/>
      <c r="D172" s="5" t="s">
        <v>430</v>
      </c>
      <c r="E172" s="7">
        <v>-100</v>
      </c>
      <c r="F172" s="8" t="s">
        <v>95</v>
      </c>
      <c r="G172" s="8" t="s">
        <v>334</v>
      </c>
      <c r="H172" s="5"/>
      <c r="I172" s="9"/>
    </row>
    <row r="173" ht="24" customHeight="1" spans="1:9">
      <c r="A173" s="4" t="s">
        <v>431</v>
      </c>
      <c r="B173" s="5" t="s">
        <v>63</v>
      </c>
      <c r="C173" s="6"/>
      <c r="D173" s="5" t="s">
        <v>432</v>
      </c>
      <c r="E173" s="7">
        <v>-100</v>
      </c>
      <c r="F173" s="8" t="s">
        <v>95</v>
      </c>
      <c r="G173" s="8" t="s">
        <v>334</v>
      </c>
      <c r="H173" s="5"/>
      <c r="I173" s="9"/>
    </row>
    <row r="174" ht="24" customHeight="1" spans="1:9">
      <c r="A174" s="4" t="s">
        <v>433</v>
      </c>
      <c r="B174" s="5" t="s">
        <v>63</v>
      </c>
      <c r="C174" s="6"/>
      <c r="D174" s="5" t="s">
        <v>434</v>
      </c>
      <c r="E174" s="7">
        <v>-100</v>
      </c>
      <c r="F174" s="8" t="s">
        <v>86</v>
      </c>
      <c r="G174" s="5"/>
      <c r="H174" s="5"/>
      <c r="I174" s="9"/>
    </row>
    <row r="175" ht="24" customHeight="1" spans="1:9">
      <c r="A175" s="4" t="s">
        <v>435</v>
      </c>
      <c r="B175" s="5" t="s">
        <v>63</v>
      </c>
      <c r="C175" s="6"/>
      <c r="D175" s="5" t="s">
        <v>436</v>
      </c>
      <c r="E175" s="7">
        <v>-110</v>
      </c>
      <c r="F175" s="8" t="s">
        <v>86</v>
      </c>
      <c r="G175" s="5"/>
      <c r="H175" s="5"/>
      <c r="I175" s="9"/>
    </row>
    <row r="176" ht="24" customHeight="1" spans="1:9">
      <c r="A176" s="4" t="s">
        <v>437</v>
      </c>
      <c r="B176" s="5" t="s">
        <v>63</v>
      </c>
      <c r="C176" s="6"/>
      <c r="D176" s="5" t="s">
        <v>438</v>
      </c>
      <c r="E176" s="7">
        <v>-110</v>
      </c>
      <c r="F176" s="8" t="s">
        <v>95</v>
      </c>
      <c r="G176" s="8" t="s">
        <v>171</v>
      </c>
      <c r="H176" s="5"/>
      <c r="I176" s="9"/>
    </row>
    <row r="177" ht="24" customHeight="1" spans="1:9">
      <c r="A177" s="4" t="s">
        <v>439</v>
      </c>
      <c r="B177" s="5" t="s">
        <v>63</v>
      </c>
      <c r="C177" s="6"/>
      <c r="D177" s="5" t="s">
        <v>440</v>
      </c>
      <c r="E177" s="7">
        <v>-110</v>
      </c>
      <c r="F177" s="8" t="s">
        <v>95</v>
      </c>
      <c r="G177" s="8" t="s">
        <v>171</v>
      </c>
      <c r="H177" s="5"/>
      <c r="I177" s="9"/>
    </row>
    <row r="178" ht="24" customHeight="1" spans="1:9">
      <c r="A178" s="4" t="s">
        <v>441</v>
      </c>
      <c r="B178" s="5" t="s">
        <v>63</v>
      </c>
      <c r="C178" s="6"/>
      <c r="D178" s="5" t="s">
        <v>442</v>
      </c>
      <c r="E178" s="7">
        <v>-110</v>
      </c>
      <c r="F178" s="8" t="s">
        <v>95</v>
      </c>
      <c r="G178" s="8" t="s">
        <v>171</v>
      </c>
      <c r="H178" s="5"/>
      <c r="I178" s="9"/>
    </row>
    <row r="179" ht="24" customHeight="1" spans="1:9">
      <c r="A179" s="4" t="s">
        <v>443</v>
      </c>
      <c r="B179" s="5" t="s">
        <v>63</v>
      </c>
      <c r="C179" s="6"/>
      <c r="D179" s="5" t="s">
        <v>444</v>
      </c>
      <c r="E179" s="7">
        <v>-110</v>
      </c>
      <c r="F179" s="8" t="s">
        <v>95</v>
      </c>
      <c r="G179" s="8" t="s">
        <v>171</v>
      </c>
      <c r="H179" s="5"/>
      <c r="I179" s="9"/>
    </row>
    <row r="180" ht="24" customHeight="1" spans="1:9">
      <c r="A180" s="4" t="s">
        <v>445</v>
      </c>
      <c r="B180" s="5" t="s">
        <v>63</v>
      </c>
      <c r="C180" s="6"/>
      <c r="D180" s="5" t="s">
        <v>446</v>
      </c>
      <c r="E180" s="7">
        <v>-110</v>
      </c>
      <c r="F180" s="8" t="s">
        <v>95</v>
      </c>
      <c r="G180" s="8" t="s">
        <v>171</v>
      </c>
      <c r="H180" s="5"/>
      <c r="I180" s="9"/>
    </row>
    <row r="181" ht="24" customHeight="1" spans="1:9">
      <c r="A181" s="4" t="s">
        <v>447</v>
      </c>
      <c r="B181" s="5" t="s">
        <v>63</v>
      </c>
      <c r="C181" s="6"/>
      <c r="D181" s="5" t="s">
        <v>448</v>
      </c>
      <c r="E181" s="7">
        <v>-120</v>
      </c>
      <c r="F181" s="8" t="s">
        <v>95</v>
      </c>
      <c r="G181" s="8" t="s">
        <v>230</v>
      </c>
      <c r="H181" s="5"/>
      <c r="I181" s="9"/>
    </row>
    <row r="182" ht="24" customHeight="1" spans="1:9">
      <c r="A182" s="4" t="s">
        <v>449</v>
      </c>
      <c r="B182" s="5" t="s">
        <v>63</v>
      </c>
      <c r="C182" s="6"/>
      <c r="D182" s="5" t="s">
        <v>450</v>
      </c>
      <c r="E182" s="7">
        <v>-120</v>
      </c>
      <c r="F182" s="8" t="s">
        <v>95</v>
      </c>
      <c r="G182" s="8" t="s">
        <v>230</v>
      </c>
      <c r="H182" s="5"/>
      <c r="I182" s="9"/>
    </row>
    <row r="183" ht="24" customHeight="1" spans="1:9">
      <c r="A183" s="4" t="s">
        <v>451</v>
      </c>
      <c r="B183" s="5" t="s">
        <v>63</v>
      </c>
      <c r="C183" s="6"/>
      <c r="D183" s="5" t="s">
        <v>452</v>
      </c>
      <c r="E183" s="7">
        <v>-120</v>
      </c>
      <c r="F183" s="8" t="s">
        <v>95</v>
      </c>
      <c r="G183" s="8" t="s">
        <v>453</v>
      </c>
      <c r="H183" s="5"/>
      <c r="I183" s="9"/>
    </row>
    <row r="184" ht="24" customHeight="1" spans="1:9">
      <c r="A184" s="4" t="s">
        <v>454</v>
      </c>
      <c r="B184" s="5" t="s">
        <v>63</v>
      </c>
      <c r="C184" s="6"/>
      <c r="D184" s="5" t="s">
        <v>455</v>
      </c>
      <c r="E184" s="7">
        <v>-120</v>
      </c>
      <c r="F184" s="8" t="s">
        <v>95</v>
      </c>
      <c r="G184" s="8" t="s">
        <v>453</v>
      </c>
      <c r="H184" s="5"/>
      <c r="I184" s="9"/>
    </row>
    <row r="185" ht="24" customHeight="1" spans="1:9">
      <c r="A185" s="4" t="s">
        <v>456</v>
      </c>
      <c r="B185" s="5" t="s">
        <v>63</v>
      </c>
      <c r="C185" s="6"/>
      <c r="D185" s="5" t="s">
        <v>457</v>
      </c>
      <c r="E185" s="7">
        <v>-80</v>
      </c>
      <c r="F185" s="8" t="s">
        <v>95</v>
      </c>
      <c r="G185" s="8" t="s">
        <v>113</v>
      </c>
      <c r="H185" s="5"/>
      <c r="I185" s="9"/>
    </row>
    <row r="186" ht="24" customHeight="1" spans="1:9">
      <c r="A186" s="4" t="s">
        <v>458</v>
      </c>
      <c r="B186" s="5" t="s">
        <v>63</v>
      </c>
      <c r="C186" s="6"/>
      <c r="D186" s="5" t="s">
        <v>459</v>
      </c>
      <c r="E186" s="7">
        <v>-120</v>
      </c>
      <c r="F186" s="8" t="s">
        <v>95</v>
      </c>
      <c r="G186" s="8" t="s">
        <v>113</v>
      </c>
      <c r="H186" s="5"/>
      <c r="I186" s="9"/>
    </row>
    <row r="187" ht="24" customHeight="1" spans="1:9">
      <c r="A187" s="4" t="s">
        <v>460</v>
      </c>
      <c r="B187" s="5" t="s">
        <v>63</v>
      </c>
      <c r="C187" s="6"/>
      <c r="D187" s="5" t="s">
        <v>461</v>
      </c>
      <c r="E187" s="7">
        <v>-120</v>
      </c>
      <c r="F187" s="8" t="s">
        <v>95</v>
      </c>
      <c r="G187" s="8" t="s">
        <v>113</v>
      </c>
      <c r="H187" s="5"/>
      <c r="I187" s="9"/>
    </row>
    <row r="188" ht="24" customHeight="1" spans="1:9">
      <c r="A188" s="4" t="s">
        <v>462</v>
      </c>
      <c r="B188" s="5" t="s">
        <v>63</v>
      </c>
      <c r="C188" s="6"/>
      <c r="D188" s="5" t="s">
        <v>463</v>
      </c>
      <c r="E188" s="7">
        <v>-120</v>
      </c>
      <c r="F188" s="8" t="s">
        <v>95</v>
      </c>
      <c r="G188" s="8" t="s">
        <v>334</v>
      </c>
      <c r="H188" s="5"/>
      <c r="I188" s="9"/>
    </row>
    <row r="189" ht="24" customHeight="1" spans="1:9">
      <c r="A189" s="4" t="s">
        <v>464</v>
      </c>
      <c r="B189" s="5" t="s">
        <v>63</v>
      </c>
      <c r="C189" s="6"/>
      <c r="D189" s="5" t="s">
        <v>465</v>
      </c>
      <c r="E189" s="7">
        <v>-120</v>
      </c>
      <c r="F189" s="8" t="s">
        <v>95</v>
      </c>
      <c r="G189" s="8" t="s">
        <v>334</v>
      </c>
      <c r="H189" s="5"/>
      <c r="I189" s="9"/>
    </row>
    <row r="190" ht="24" customHeight="1" spans="1:9">
      <c r="A190" s="4" t="s">
        <v>466</v>
      </c>
      <c r="B190" s="5" t="s">
        <v>63</v>
      </c>
      <c r="C190" s="6"/>
      <c r="D190" s="5" t="s">
        <v>467</v>
      </c>
      <c r="E190" s="7">
        <v>-90</v>
      </c>
      <c r="F190" s="8" t="s">
        <v>95</v>
      </c>
      <c r="G190" s="8" t="s">
        <v>334</v>
      </c>
      <c r="H190" s="5"/>
      <c r="I190" s="9"/>
    </row>
    <row r="191" ht="24" customHeight="1" spans="1:9">
      <c r="A191" s="4" t="s">
        <v>468</v>
      </c>
      <c r="B191" s="5" t="s">
        <v>63</v>
      </c>
      <c r="C191" s="6"/>
      <c r="D191" s="5" t="s">
        <v>469</v>
      </c>
      <c r="E191" s="7">
        <v>-100</v>
      </c>
      <c r="F191" s="8" t="s">
        <v>95</v>
      </c>
      <c r="G191" s="8" t="s">
        <v>334</v>
      </c>
      <c r="H191" s="5"/>
      <c r="I191" s="9"/>
    </row>
    <row r="192" ht="24" customHeight="1" spans="1:9">
      <c r="A192" s="4" t="s">
        <v>470</v>
      </c>
      <c r="B192" s="5" t="s">
        <v>63</v>
      </c>
      <c r="C192" s="6"/>
      <c r="D192" s="5" t="s">
        <v>471</v>
      </c>
      <c r="E192" s="7">
        <v>-90</v>
      </c>
      <c r="F192" s="8" t="s">
        <v>86</v>
      </c>
      <c r="G192" s="5"/>
      <c r="H192" s="5"/>
      <c r="I192" s="9"/>
    </row>
    <row r="193" ht="24" customHeight="1" spans="1:9">
      <c r="A193" s="4" t="s">
        <v>472</v>
      </c>
      <c r="B193" s="5" t="s">
        <v>63</v>
      </c>
      <c r="C193" s="6"/>
      <c r="D193" s="5" t="s">
        <v>473</v>
      </c>
      <c r="E193" s="7">
        <v>-90</v>
      </c>
      <c r="F193" s="8" t="s">
        <v>86</v>
      </c>
      <c r="G193" s="5"/>
      <c r="H193" s="5"/>
      <c r="I193" s="9"/>
    </row>
    <row r="194" ht="24" customHeight="1" spans="1:9">
      <c r="A194" s="4" t="s">
        <v>474</v>
      </c>
      <c r="B194" s="5" t="s">
        <v>63</v>
      </c>
      <c r="C194" s="6"/>
      <c r="D194" s="5" t="s">
        <v>475</v>
      </c>
      <c r="E194" s="7">
        <v>-90</v>
      </c>
      <c r="F194" s="8" t="s">
        <v>95</v>
      </c>
      <c r="G194" s="8" t="s">
        <v>184</v>
      </c>
      <c r="H194" s="5"/>
      <c r="I194" s="9"/>
    </row>
    <row r="195" ht="24" customHeight="1" spans="1:9">
      <c r="A195" s="4" t="s">
        <v>476</v>
      </c>
      <c r="B195" s="5" t="s">
        <v>63</v>
      </c>
      <c r="C195" s="6"/>
      <c r="D195" s="5" t="s">
        <v>477</v>
      </c>
      <c r="E195" s="7">
        <v>-90</v>
      </c>
      <c r="F195" s="8" t="s">
        <v>95</v>
      </c>
      <c r="G195" s="8" t="s">
        <v>184</v>
      </c>
      <c r="H195" s="5"/>
      <c r="I195" s="9"/>
    </row>
    <row r="196" ht="24" customHeight="1" spans="1:9">
      <c r="A196" s="4" t="s">
        <v>478</v>
      </c>
      <c r="B196" s="5" t="s">
        <v>63</v>
      </c>
      <c r="C196" s="6"/>
      <c r="D196" s="5" t="s">
        <v>479</v>
      </c>
      <c r="E196" s="7">
        <v>-90</v>
      </c>
      <c r="F196" s="8" t="s">
        <v>95</v>
      </c>
      <c r="G196" s="8" t="s">
        <v>171</v>
      </c>
      <c r="H196" s="5"/>
      <c r="I196" s="9"/>
    </row>
    <row r="197" ht="24" customHeight="1" spans="1:9">
      <c r="A197" s="4" t="s">
        <v>480</v>
      </c>
      <c r="B197" s="5" t="s">
        <v>63</v>
      </c>
      <c r="C197" s="6"/>
      <c r="D197" s="5" t="s">
        <v>481</v>
      </c>
      <c r="E197" s="7">
        <v>-90</v>
      </c>
      <c r="F197" s="8" t="s">
        <v>95</v>
      </c>
      <c r="G197" s="8" t="s">
        <v>171</v>
      </c>
      <c r="H197" s="5"/>
      <c r="I197" s="9"/>
    </row>
    <row r="198" ht="24" customHeight="1" spans="1:9">
      <c r="A198" s="4" t="s">
        <v>482</v>
      </c>
      <c r="B198" s="5" t="s">
        <v>63</v>
      </c>
      <c r="C198" s="6"/>
      <c r="D198" s="5" t="s">
        <v>483</v>
      </c>
      <c r="E198" s="7">
        <v>-130</v>
      </c>
      <c r="F198" s="8" t="s">
        <v>95</v>
      </c>
      <c r="G198" s="8" t="s">
        <v>171</v>
      </c>
      <c r="H198" s="5"/>
      <c r="I198" s="9"/>
    </row>
    <row r="199" ht="24" customHeight="1" spans="1:9">
      <c r="A199" s="4" t="s">
        <v>484</v>
      </c>
      <c r="B199" s="5" t="s">
        <v>63</v>
      </c>
      <c r="C199" s="6"/>
      <c r="D199" s="5" t="s">
        <v>485</v>
      </c>
      <c r="E199" s="7">
        <v>-130</v>
      </c>
      <c r="F199" s="8" t="s">
        <v>95</v>
      </c>
      <c r="G199" s="8" t="s">
        <v>171</v>
      </c>
      <c r="H199" s="5"/>
      <c r="I199" s="9"/>
    </row>
    <row r="200" ht="24" customHeight="1" spans="1:9">
      <c r="A200" s="4" t="s">
        <v>486</v>
      </c>
      <c r="B200" s="5" t="s">
        <v>63</v>
      </c>
      <c r="C200" s="6"/>
      <c r="D200" s="5" t="s">
        <v>487</v>
      </c>
      <c r="E200" s="7">
        <v>-130</v>
      </c>
      <c r="F200" s="8" t="s">
        <v>95</v>
      </c>
      <c r="G200" s="5" t="s">
        <v>453</v>
      </c>
      <c r="H200" s="5"/>
      <c r="I200" s="9"/>
    </row>
    <row r="201" ht="24" customHeight="1" spans="1:9">
      <c r="A201" s="4" t="s">
        <v>488</v>
      </c>
      <c r="B201" s="5" t="s">
        <v>63</v>
      </c>
      <c r="C201" s="6"/>
      <c r="D201" s="5" t="s">
        <v>489</v>
      </c>
      <c r="E201" s="7">
        <v>-130</v>
      </c>
      <c r="F201" s="8" t="s">
        <v>95</v>
      </c>
      <c r="G201" s="5" t="s">
        <v>453</v>
      </c>
      <c r="H201" s="5"/>
      <c r="I201" s="9"/>
    </row>
    <row r="202" ht="24" customHeight="1" spans="1:9">
      <c r="A202" s="4" t="s">
        <v>490</v>
      </c>
      <c r="B202" s="5" t="s">
        <v>63</v>
      </c>
      <c r="C202" s="6"/>
      <c r="D202" s="5" t="s">
        <v>491</v>
      </c>
      <c r="E202" s="7">
        <v>-130</v>
      </c>
      <c r="F202" s="8" t="s">
        <v>95</v>
      </c>
      <c r="G202" s="5" t="s">
        <v>453</v>
      </c>
      <c r="H202" s="5"/>
      <c r="I202" s="9"/>
    </row>
    <row r="203" ht="24" customHeight="1" spans="1:9">
      <c r="A203" s="4" t="s">
        <v>492</v>
      </c>
      <c r="B203" s="5" t="s">
        <v>63</v>
      </c>
      <c r="C203" s="6"/>
      <c r="D203" s="5" t="s">
        <v>493</v>
      </c>
      <c r="E203" s="7">
        <v>-130</v>
      </c>
      <c r="F203" s="8" t="s">
        <v>95</v>
      </c>
      <c r="G203" s="5" t="s">
        <v>453</v>
      </c>
      <c r="H203" s="5"/>
      <c r="I203" s="9"/>
    </row>
    <row r="204" ht="24" customHeight="1" spans="1:9">
      <c r="A204" s="4" t="s">
        <v>494</v>
      </c>
      <c r="B204" s="5" t="s">
        <v>63</v>
      </c>
      <c r="C204" s="6"/>
      <c r="D204" s="5" t="s">
        <v>495</v>
      </c>
      <c r="E204" s="7">
        <v>-130</v>
      </c>
      <c r="F204" s="8" t="s">
        <v>95</v>
      </c>
      <c r="G204" s="8" t="s">
        <v>113</v>
      </c>
      <c r="H204" s="5"/>
      <c r="I204" s="9"/>
    </row>
    <row r="205" ht="24" customHeight="1" spans="1:9">
      <c r="A205" s="4" t="s">
        <v>496</v>
      </c>
      <c r="B205" s="5" t="s">
        <v>63</v>
      </c>
      <c r="C205" s="6"/>
      <c r="D205" s="5" t="s">
        <v>497</v>
      </c>
      <c r="E205" s="7">
        <v>-130</v>
      </c>
      <c r="F205" s="8" t="s">
        <v>95</v>
      </c>
      <c r="G205" s="8" t="s">
        <v>113</v>
      </c>
      <c r="H205" s="5"/>
      <c r="I205" s="9"/>
    </row>
    <row r="206" ht="24" customHeight="1" spans="1:9">
      <c r="A206" s="4" t="s">
        <v>498</v>
      </c>
      <c r="B206" s="5" t="s">
        <v>63</v>
      </c>
      <c r="C206" s="6"/>
      <c r="D206" s="5" t="s">
        <v>499</v>
      </c>
      <c r="E206" s="7">
        <v>-130</v>
      </c>
      <c r="F206" s="8" t="s">
        <v>95</v>
      </c>
      <c r="G206" s="8" t="s">
        <v>113</v>
      </c>
      <c r="H206" s="5"/>
      <c r="I206" s="9"/>
    </row>
    <row r="207" ht="24" customHeight="1" spans="1:9">
      <c r="A207" s="4" t="s">
        <v>500</v>
      </c>
      <c r="B207" s="5" t="s">
        <v>63</v>
      </c>
      <c r="C207" s="6"/>
      <c r="D207" s="5" t="s">
        <v>501</v>
      </c>
      <c r="E207" s="7">
        <v>-130</v>
      </c>
      <c r="F207" s="8" t="s">
        <v>95</v>
      </c>
      <c r="G207" s="8" t="s">
        <v>113</v>
      </c>
      <c r="H207" s="5"/>
      <c r="I207" s="9"/>
    </row>
    <row r="208" ht="24" customHeight="1" spans="1:9">
      <c r="A208" s="4" t="s">
        <v>502</v>
      </c>
      <c r="B208" s="5" t="s">
        <v>63</v>
      </c>
      <c r="C208" s="6"/>
      <c r="D208" s="5" t="s">
        <v>503</v>
      </c>
      <c r="E208" s="7">
        <v>-140</v>
      </c>
      <c r="F208" s="8" t="s">
        <v>95</v>
      </c>
      <c r="G208" s="8" t="s">
        <v>113</v>
      </c>
      <c r="H208" s="5"/>
      <c r="I208" s="9"/>
    </row>
    <row r="209" ht="24" customHeight="1" spans="1:9">
      <c r="A209" s="4" t="s">
        <v>504</v>
      </c>
      <c r="B209" s="5" t="s">
        <v>63</v>
      </c>
      <c r="C209" s="6"/>
      <c r="D209" s="5" t="s">
        <v>505</v>
      </c>
      <c r="E209" s="7">
        <v>-140</v>
      </c>
      <c r="F209" s="8" t="s">
        <v>95</v>
      </c>
      <c r="G209" s="8" t="s">
        <v>96</v>
      </c>
      <c r="H209" s="5"/>
      <c r="I209" s="9"/>
    </row>
    <row r="210" ht="24" customHeight="1" spans="1:9">
      <c r="A210" s="4" t="s">
        <v>506</v>
      </c>
      <c r="B210" s="5" t="s">
        <v>63</v>
      </c>
      <c r="C210" s="6"/>
      <c r="D210" s="5" t="s">
        <v>507</v>
      </c>
      <c r="E210" s="7">
        <v>-140</v>
      </c>
      <c r="F210" s="8" t="s">
        <v>95</v>
      </c>
      <c r="G210" s="8" t="s">
        <v>96</v>
      </c>
      <c r="H210" s="5"/>
      <c r="I210" s="9"/>
    </row>
    <row r="211" ht="24" customHeight="1" spans="1:9">
      <c r="A211" s="4" t="s">
        <v>508</v>
      </c>
      <c r="B211" s="5" t="s">
        <v>63</v>
      </c>
      <c r="C211" s="6"/>
      <c r="D211" s="5" t="s">
        <v>509</v>
      </c>
      <c r="E211" s="7">
        <v>-140</v>
      </c>
      <c r="F211" s="8" t="s">
        <v>95</v>
      </c>
      <c r="G211" s="8" t="s">
        <v>510</v>
      </c>
      <c r="H211" s="5"/>
      <c r="I211" s="9"/>
    </row>
    <row r="212" ht="24" customHeight="1" spans="1:9">
      <c r="A212" s="4" t="s">
        <v>511</v>
      </c>
      <c r="B212" s="5" t="s">
        <v>63</v>
      </c>
      <c r="C212" s="6"/>
      <c r="D212" s="5" t="s">
        <v>512</v>
      </c>
      <c r="E212" s="7">
        <v>-140</v>
      </c>
      <c r="F212" s="8" t="s">
        <v>95</v>
      </c>
      <c r="G212" s="8" t="s">
        <v>510</v>
      </c>
      <c r="H212" s="5"/>
      <c r="I212" s="9"/>
    </row>
    <row r="213" ht="24" customHeight="1" spans="1:9">
      <c r="A213" s="4" t="s">
        <v>513</v>
      </c>
      <c r="B213" s="5" t="s">
        <v>63</v>
      </c>
      <c r="C213" s="6"/>
      <c r="D213" s="5" t="s">
        <v>514</v>
      </c>
      <c r="E213" s="7">
        <v>-140</v>
      </c>
      <c r="F213" s="8" t="s">
        <v>95</v>
      </c>
      <c r="G213" s="8" t="s">
        <v>510</v>
      </c>
      <c r="H213" s="5"/>
      <c r="I213" s="9"/>
    </row>
    <row r="214" ht="24" customHeight="1" spans="1:9">
      <c r="A214" s="4" t="s">
        <v>515</v>
      </c>
      <c r="B214" s="5" t="s">
        <v>63</v>
      </c>
      <c r="C214" s="6"/>
      <c r="D214" s="5" t="s">
        <v>516</v>
      </c>
      <c r="E214" s="7">
        <v>-140</v>
      </c>
      <c r="F214" s="8" t="s">
        <v>86</v>
      </c>
      <c r="G214" s="5"/>
      <c r="H214" s="5"/>
      <c r="I214" s="9"/>
    </row>
    <row r="215" ht="24" customHeight="1" spans="1:9">
      <c r="A215" s="4" t="s">
        <v>517</v>
      </c>
      <c r="B215" s="5" t="s">
        <v>63</v>
      </c>
      <c r="C215" s="6"/>
      <c r="D215" s="5" t="s">
        <v>518</v>
      </c>
      <c r="E215" s="7">
        <v>-140</v>
      </c>
      <c r="F215" s="8" t="s">
        <v>86</v>
      </c>
      <c r="G215" s="5"/>
      <c r="H215" s="5"/>
      <c r="I215" s="9"/>
    </row>
    <row r="216" ht="24" customHeight="1" spans="1:9">
      <c r="A216" s="4" t="s">
        <v>519</v>
      </c>
      <c r="B216" s="5" t="s">
        <v>63</v>
      </c>
      <c r="C216" s="6"/>
      <c r="D216" s="5" t="s">
        <v>520</v>
      </c>
      <c r="E216" s="7">
        <v>-140</v>
      </c>
      <c r="F216" s="8" t="s">
        <v>86</v>
      </c>
      <c r="G216" s="5"/>
      <c r="H216" s="5"/>
      <c r="I216" s="9"/>
    </row>
    <row r="217" ht="24" customHeight="1" spans="1:9">
      <c r="A217" s="4" t="s">
        <v>521</v>
      </c>
      <c r="B217" s="5" t="s">
        <v>63</v>
      </c>
      <c r="C217" s="6"/>
      <c r="D217" s="5" t="s">
        <v>522</v>
      </c>
      <c r="E217" s="7">
        <v>-140</v>
      </c>
      <c r="F217" s="8" t="s">
        <v>86</v>
      </c>
      <c r="G217" s="5"/>
      <c r="H217" s="5"/>
      <c r="I217" s="9"/>
    </row>
    <row r="218" ht="24" customHeight="1" spans="1:9">
      <c r="A218" s="4"/>
      <c r="B218" s="5"/>
      <c r="C218" s="6"/>
      <c r="D218" s="5"/>
      <c r="E218" s="7"/>
      <c r="F218" s="5"/>
      <c r="G218" s="5"/>
      <c r="H218" s="5"/>
      <c r="I218" s="9"/>
    </row>
    <row r="219" ht="24" customHeight="1" spans="1:9">
      <c r="A219" s="4"/>
      <c r="B219" s="5"/>
      <c r="C219" s="6"/>
      <c r="D219" s="5"/>
      <c r="E219" s="7"/>
      <c r="F219" s="5"/>
      <c r="G219" s="5"/>
      <c r="H219" s="5"/>
      <c r="I219" s="9"/>
    </row>
    <row r="220" ht="24" customHeight="1" spans="1:9">
      <c r="A220" s="4"/>
      <c r="B220" s="5"/>
      <c r="C220" s="6"/>
      <c r="D220" s="5"/>
      <c r="E220" s="7"/>
      <c r="F220" s="5"/>
      <c r="G220" s="5"/>
      <c r="H220" s="5"/>
      <c r="I220" s="9"/>
    </row>
    <row r="221" ht="24" customHeight="1" spans="1:9">
      <c r="A221" s="4"/>
      <c r="B221" s="5"/>
      <c r="C221" s="6"/>
      <c r="D221" s="5"/>
      <c r="E221" s="7"/>
      <c r="F221" s="5"/>
      <c r="G221" s="5"/>
      <c r="H221" s="5"/>
      <c r="I221" s="9"/>
    </row>
    <row r="222" ht="24" customHeight="1" spans="1:9">
      <c r="A222" s="4"/>
      <c r="B222" s="5"/>
      <c r="C222" s="6"/>
      <c r="D222" s="5"/>
      <c r="E222" s="7"/>
      <c r="F222" s="5"/>
      <c r="G222" s="5"/>
      <c r="H222" s="5"/>
      <c r="I222" s="9"/>
    </row>
    <row r="223" ht="24" customHeight="1" spans="1:9">
      <c r="A223" s="4"/>
      <c r="B223" s="5"/>
      <c r="C223" s="6"/>
      <c r="D223" s="5"/>
      <c r="E223" s="7"/>
      <c r="F223" s="5"/>
      <c r="G223" s="5"/>
      <c r="H223" s="5"/>
      <c r="I223" s="9"/>
    </row>
    <row r="224" ht="24" customHeight="1" spans="1:9">
      <c r="A224" s="4"/>
      <c r="B224" s="5"/>
      <c r="C224" s="6"/>
      <c r="D224" s="5"/>
      <c r="E224" s="7"/>
      <c r="F224" s="5"/>
      <c r="G224" s="5"/>
      <c r="H224" s="5"/>
      <c r="I224" s="9"/>
    </row>
    <row r="225" ht="24" customHeight="1" spans="1:9">
      <c r="A225" s="4"/>
      <c r="B225" s="5"/>
      <c r="C225" s="6"/>
      <c r="D225" s="5"/>
      <c r="E225" s="7"/>
      <c r="F225" s="5"/>
      <c r="G225" s="5"/>
      <c r="H225" s="5"/>
      <c r="I225" s="9"/>
    </row>
    <row r="226" ht="24" customHeight="1" spans="1:9">
      <c r="A226" s="4"/>
      <c r="B226" s="5"/>
      <c r="C226" s="6"/>
      <c r="D226" s="5"/>
      <c r="E226" s="7"/>
      <c r="F226" s="5"/>
      <c r="G226" s="5"/>
      <c r="H226" s="5"/>
      <c r="I226" s="9"/>
    </row>
    <row r="227" ht="24" customHeight="1" spans="1:9">
      <c r="A227" s="4"/>
      <c r="B227" s="5"/>
      <c r="C227" s="6"/>
      <c r="D227" s="5"/>
      <c r="E227" s="7"/>
      <c r="F227" s="5"/>
      <c r="G227" s="5"/>
      <c r="H227" s="5"/>
      <c r="I227" s="9"/>
    </row>
    <row r="228" ht="24" customHeight="1" spans="1:9">
      <c r="A228" s="4"/>
      <c r="B228" s="5"/>
      <c r="C228" s="6"/>
      <c r="D228" s="5"/>
      <c r="E228" s="7"/>
      <c r="F228" s="5"/>
      <c r="G228" s="5"/>
      <c r="H228" s="5"/>
      <c r="I228" s="9"/>
    </row>
    <row r="229" ht="24" customHeight="1" spans="1:9">
      <c r="A229" s="4"/>
      <c r="B229" s="5"/>
      <c r="C229" s="6"/>
      <c r="D229" s="5"/>
      <c r="E229" s="7"/>
      <c r="F229" s="5"/>
      <c r="G229" s="5"/>
      <c r="H229" s="5"/>
      <c r="I229" s="9"/>
    </row>
    <row r="230" ht="24" customHeight="1" spans="1:9">
      <c r="A230" s="4"/>
      <c r="B230" s="5"/>
      <c r="C230" s="6"/>
      <c r="D230" s="5"/>
      <c r="E230" s="7"/>
      <c r="F230" s="5"/>
      <c r="G230" s="5"/>
      <c r="H230" s="5"/>
      <c r="I230" s="9"/>
    </row>
    <row r="231" ht="24" customHeight="1" spans="1:9">
      <c r="A231" s="4"/>
      <c r="B231" s="5"/>
      <c r="C231" s="6"/>
      <c r="D231" s="5"/>
      <c r="E231" s="7"/>
      <c r="F231" s="5"/>
      <c r="G231" s="5"/>
      <c r="H231" s="5"/>
      <c r="I231" s="9"/>
    </row>
    <row r="232" ht="24" customHeight="1" spans="1:9">
      <c r="A232" s="4"/>
      <c r="B232" s="5"/>
      <c r="C232" s="6"/>
      <c r="D232" s="5"/>
      <c r="E232" s="7"/>
      <c r="F232" s="5"/>
      <c r="G232" s="5"/>
      <c r="H232" s="5"/>
      <c r="I232" s="9"/>
    </row>
    <row r="233" ht="24" customHeight="1" spans="1:9">
      <c r="A233" s="4"/>
      <c r="B233" s="5"/>
      <c r="C233" s="6"/>
      <c r="D233" s="5"/>
      <c r="E233" s="7"/>
      <c r="F233" s="5"/>
      <c r="G233" s="5"/>
      <c r="H233" s="5"/>
      <c r="I233" s="9"/>
    </row>
    <row r="234" ht="24" customHeight="1" spans="1:9">
      <c r="A234" s="4"/>
      <c r="B234" s="5"/>
      <c r="C234" s="6"/>
      <c r="D234" s="5"/>
      <c r="E234" s="7"/>
      <c r="F234" s="5"/>
      <c r="G234" s="5"/>
      <c r="H234" s="5"/>
      <c r="I234" s="9"/>
    </row>
    <row r="235" ht="24" customHeight="1" spans="1:9">
      <c r="A235" s="4"/>
      <c r="B235" s="5"/>
      <c r="C235" s="6"/>
      <c r="D235" s="5"/>
      <c r="E235" s="7"/>
      <c r="F235" s="5"/>
      <c r="G235" s="5"/>
      <c r="H235" s="5"/>
      <c r="I235" s="9"/>
    </row>
    <row r="236" ht="24" customHeight="1" spans="1:9">
      <c r="A236" s="4"/>
      <c r="B236" s="5"/>
      <c r="C236" s="6"/>
      <c r="D236" s="5"/>
      <c r="E236" s="7"/>
      <c r="F236" s="5"/>
      <c r="G236" s="5"/>
      <c r="H236" s="5"/>
      <c r="I236" s="9"/>
    </row>
    <row r="237" ht="24" customHeight="1" spans="1:9">
      <c r="A237" s="4"/>
      <c r="B237" s="5"/>
      <c r="C237" s="6"/>
      <c r="D237" s="5"/>
      <c r="E237" s="7"/>
      <c r="F237" s="5"/>
      <c r="G237" s="5"/>
      <c r="H237" s="5"/>
      <c r="I237" s="9"/>
    </row>
    <row r="238" ht="24" customHeight="1" spans="1:9">
      <c r="A238" s="4"/>
      <c r="B238" s="5"/>
      <c r="C238" s="6"/>
      <c r="D238" s="5"/>
      <c r="E238" s="7"/>
      <c r="F238" s="5"/>
      <c r="G238" s="5"/>
      <c r="H238" s="5"/>
      <c r="I238" s="9"/>
    </row>
    <row r="239" ht="24" customHeight="1" spans="1:9">
      <c r="A239" s="4"/>
      <c r="B239" s="5"/>
      <c r="C239" s="6"/>
      <c r="D239" s="5"/>
      <c r="E239" s="7"/>
      <c r="F239" s="5"/>
      <c r="G239" s="5"/>
      <c r="H239" s="5"/>
      <c r="I239" s="9"/>
    </row>
    <row r="240" ht="24" customHeight="1" spans="1:9">
      <c r="A240" s="4"/>
      <c r="B240" s="5"/>
      <c r="C240" s="6"/>
      <c r="D240" s="5"/>
      <c r="E240" s="7"/>
      <c r="F240" s="5"/>
      <c r="G240" s="5"/>
      <c r="H240" s="5"/>
      <c r="I240" s="9"/>
    </row>
    <row r="241" ht="24" customHeight="1" spans="1:9">
      <c r="A241" s="4"/>
      <c r="B241" s="5"/>
      <c r="C241" s="6"/>
      <c r="D241" s="5"/>
      <c r="E241" s="7"/>
      <c r="F241" s="5"/>
      <c r="G241" s="5"/>
      <c r="H241" s="5"/>
      <c r="I241" s="9"/>
    </row>
    <row r="242" ht="24" customHeight="1" spans="1:9">
      <c r="A242" s="4"/>
      <c r="B242" s="5"/>
      <c r="C242" s="6"/>
      <c r="D242" s="5"/>
      <c r="E242" s="7"/>
      <c r="F242" s="5"/>
      <c r="G242" s="5"/>
      <c r="H242" s="5"/>
      <c r="I242" s="9"/>
    </row>
    <row r="243" ht="24" customHeight="1" spans="1:9">
      <c r="A243" s="4"/>
      <c r="B243" s="5"/>
      <c r="C243" s="6"/>
      <c r="D243" s="5"/>
      <c r="E243" s="7"/>
      <c r="F243" s="5"/>
      <c r="G243" s="5"/>
      <c r="H243" s="5"/>
      <c r="I243" s="9"/>
    </row>
    <row r="244" ht="24" customHeight="1" spans="1:9">
      <c r="A244" s="4"/>
      <c r="B244" s="5"/>
      <c r="C244" s="6"/>
      <c r="D244" s="5"/>
      <c r="E244" s="7"/>
      <c r="F244" s="5"/>
      <c r="G244" s="5"/>
      <c r="H244" s="5"/>
      <c r="I244" s="9"/>
    </row>
    <row r="245" ht="24" customHeight="1" spans="1:9">
      <c r="A245" s="4"/>
      <c r="B245" s="5"/>
      <c r="C245" s="6"/>
      <c r="D245" s="5"/>
      <c r="E245" s="7"/>
      <c r="F245" s="5"/>
      <c r="G245" s="5"/>
      <c r="H245" s="5"/>
      <c r="I245" s="9"/>
    </row>
    <row r="246" ht="24" customHeight="1" spans="1:9">
      <c r="A246" s="4"/>
      <c r="B246" s="5"/>
      <c r="C246" s="6"/>
      <c r="D246" s="5"/>
      <c r="E246" s="7"/>
      <c r="F246" s="5"/>
      <c r="G246" s="5"/>
      <c r="H246" s="5"/>
      <c r="I246" s="9"/>
    </row>
    <row r="247" ht="24" customHeight="1" spans="1:9">
      <c r="A247" s="4"/>
      <c r="B247" s="5"/>
      <c r="C247" s="6"/>
      <c r="D247" s="5"/>
      <c r="E247" s="7"/>
      <c r="F247" s="5"/>
      <c r="G247" s="5"/>
      <c r="H247" s="5"/>
      <c r="I247" s="9"/>
    </row>
    <row r="248" ht="24" customHeight="1" spans="1:9">
      <c r="A248" s="4"/>
      <c r="B248" s="5"/>
      <c r="C248" s="6"/>
      <c r="D248" s="5"/>
      <c r="E248" s="7"/>
      <c r="F248" s="5"/>
      <c r="G248" s="5"/>
      <c r="H248" s="5"/>
      <c r="I248" s="9"/>
    </row>
    <row r="249" ht="24" customHeight="1" spans="1:9">
      <c r="A249" s="4"/>
      <c r="B249" s="5"/>
      <c r="C249" s="6"/>
      <c r="D249" s="5"/>
      <c r="E249" s="7"/>
      <c r="F249" s="5"/>
      <c r="G249" s="5"/>
      <c r="H249" s="5"/>
      <c r="I249" s="9"/>
    </row>
    <row r="250" ht="24" customHeight="1" spans="1:9">
      <c r="A250" s="4"/>
      <c r="B250" s="5"/>
      <c r="C250" s="6"/>
      <c r="D250" s="5"/>
      <c r="E250" s="7"/>
      <c r="F250" s="5"/>
      <c r="G250" s="5"/>
      <c r="H250" s="5"/>
      <c r="I250" s="9"/>
    </row>
    <row r="251" ht="24" customHeight="1" spans="1:9">
      <c r="A251" s="4"/>
      <c r="B251" s="5"/>
      <c r="C251" s="6"/>
      <c r="D251" s="5"/>
      <c r="E251" s="7"/>
      <c r="F251" s="5"/>
      <c r="G251" s="5"/>
      <c r="H251" s="5"/>
      <c r="I251" s="9"/>
    </row>
    <row r="252" ht="24" customHeight="1" spans="1:9">
      <c r="A252" s="4"/>
      <c r="B252" s="5"/>
      <c r="C252" s="6"/>
      <c r="D252" s="5"/>
      <c r="E252" s="7"/>
      <c r="F252" s="5"/>
      <c r="G252" s="5"/>
      <c r="H252" s="5"/>
      <c r="I252" s="9"/>
    </row>
    <row r="253" ht="24" customHeight="1" spans="1:9">
      <c r="A253" s="4"/>
      <c r="B253" s="5"/>
      <c r="C253" s="6"/>
      <c r="D253" s="5"/>
      <c r="E253" s="7"/>
      <c r="F253" s="5"/>
      <c r="G253" s="5"/>
      <c r="H253" s="5"/>
      <c r="I253" s="9"/>
    </row>
    <row r="254" ht="24" customHeight="1" spans="1:9">
      <c r="A254" s="4"/>
      <c r="B254" s="5"/>
      <c r="C254" s="6"/>
      <c r="D254" s="5"/>
      <c r="E254" s="7"/>
      <c r="F254" s="5"/>
      <c r="G254" s="5"/>
      <c r="H254" s="5"/>
      <c r="I254" s="9"/>
    </row>
    <row r="255" ht="24" customHeight="1" spans="1:9">
      <c r="A255" s="4"/>
      <c r="B255" s="5"/>
      <c r="C255" s="6"/>
      <c r="D255" s="5"/>
      <c r="E255" s="7"/>
      <c r="F255" s="5"/>
      <c r="G255" s="5"/>
      <c r="H255" s="5"/>
      <c r="I255" s="9"/>
    </row>
    <row r="256" ht="24" customHeight="1" spans="1:9">
      <c r="A256" s="4"/>
      <c r="B256" s="5"/>
      <c r="C256" s="6"/>
      <c r="D256" s="5"/>
      <c r="E256" s="7"/>
      <c r="F256" s="5"/>
      <c r="G256" s="5"/>
      <c r="H256" s="5"/>
      <c r="I256" s="9"/>
    </row>
    <row r="257" ht="24" customHeight="1" spans="1:9">
      <c r="A257" s="4"/>
      <c r="B257" s="5"/>
      <c r="C257" s="6"/>
      <c r="D257" s="5"/>
      <c r="E257" s="7"/>
      <c r="F257" s="5"/>
      <c r="G257" s="5"/>
      <c r="H257" s="5"/>
      <c r="I257" s="9"/>
    </row>
    <row r="258" ht="24" customHeight="1" spans="1:9">
      <c r="A258" s="4"/>
      <c r="B258" s="5"/>
      <c r="C258" s="6"/>
      <c r="D258" s="5"/>
      <c r="E258" s="7"/>
      <c r="F258" s="5"/>
      <c r="G258" s="5"/>
      <c r="H258" s="5"/>
      <c r="I258" s="9"/>
    </row>
    <row r="259" ht="24" customHeight="1" spans="1:9">
      <c r="A259" s="4"/>
      <c r="B259" s="5"/>
      <c r="C259" s="6"/>
      <c r="D259" s="5"/>
      <c r="E259" s="7"/>
      <c r="F259" s="5"/>
      <c r="G259" s="5"/>
      <c r="H259" s="5"/>
      <c r="I259" s="9"/>
    </row>
    <row r="260" ht="24" customHeight="1" spans="1:9">
      <c r="A260" s="4"/>
      <c r="B260" s="5"/>
      <c r="C260" s="6"/>
      <c r="D260" s="5"/>
      <c r="E260" s="7"/>
      <c r="F260" s="5"/>
      <c r="G260" s="5"/>
      <c r="H260" s="5"/>
      <c r="I260" s="9"/>
    </row>
    <row r="261" ht="24" customHeight="1" spans="1:9">
      <c r="A261" s="4"/>
      <c r="B261" s="5"/>
      <c r="C261" s="6"/>
      <c r="D261" s="5"/>
      <c r="E261" s="7"/>
      <c r="F261" s="5"/>
      <c r="G261" s="5"/>
      <c r="H261" s="5"/>
      <c r="I261" s="9"/>
    </row>
    <row r="262" ht="24" customHeight="1" spans="1:9">
      <c r="A262" s="4"/>
      <c r="B262" s="5"/>
      <c r="C262" s="6"/>
      <c r="D262" s="5"/>
      <c r="E262" s="7"/>
      <c r="F262" s="5"/>
      <c r="G262" s="5"/>
      <c r="H262" s="5"/>
      <c r="I262" s="9"/>
    </row>
    <row r="263" ht="24" customHeight="1" spans="1:9">
      <c r="A263" s="4"/>
      <c r="B263" s="5"/>
      <c r="C263" s="6"/>
      <c r="D263" s="5"/>
      <c r="E263" s="7"/>
      <c r="F263" s="5"/>
      <c r="G263" s="5"/>
      <c r="H263" s="5"/>
      <c r="I263" s="9"/>
    </row>
    <row r="264" ht="24" customHeight="1" spans="1:9">
      <c r="A264" s="4"/>
      <c r="B264" s="5"/>
      <c r="C264" s="6"/>
      <c r="D264" s="5"/>
      <c r="E264" s="7"/>
      <c r="F264" s="5"/>
      <c r="G264" s="5"/>
      <c r="H264" s="5"/>
      <c r="I264" s="9"/>
    </row>
    <row r="265" ht="24" customHeight="1" spans="1:9">
      <c r="A265" s="4"/>
      <c r="B265" s="5"/>
      <c r="C265" s="6"/>
      <c r="D265" s="5"/>
      <c r="E265" s="7"/>
      <c r="F265" s="5"/>
      <c r="G265" s="5"/>
      <c r="H265" s="5"/>
      <c r="I265" s="9"/>
    </row>
    <row r="266" ht="24" customHeight="1" spans="1:9">
      <c r="A266" s="4"/>
      <c r="B266" s="5"/>
      <c r="C266" s="6"/>
      <c r="D266" s="5"/>
      <c r="E266" s="7"/>
      <c r="F266" s="5"/>
      <c r="G266" s="5"/>
      <c r="H266" s="5"/>
      <c r="I266" s="9"/>
    </row>
    <row r="267" ht="24" customHeight="1" spans="1:9">
      <c r="A267" s="4"/>
      <c r="B267" s="5"/>
      <c r="C267" s="6"/>
      <c r="D267" s="5"/>
      <c r="E267" s="7"/>
      <c r="F267" s="5"/>
      <c r="G267" s="5"/>
      <c r="H267" s="5"/>
      <c r="I267" s="9"/>
    </row>
    <row r="268" ht="24" customHeight="1" spans="1:9">
      <c r="A268" s="4"/>
      <c r="B268" s="5"/>
      <c r="C268" s="6"/>
      <c r="D268" s="5"/>
      <c r="E268" s="7"/>
      <c r="F268" s="5"/>
      <c r="G268" s="5"/>
      <c r="H268" s="5"/>
      <c r="I268" s="9"/>
    </row>
    <row r="269" ht="24" customHeight="1" spans="1:9">
      <c r="A269" s="4"/>
      <c r="B269" s="5"/>
      <c r="C269" s="6"/>
      <c r="D269" s="5"/>
      <c r="E269" s="7"/>
      <c r="F269" s="5"/>
      <c r="G269" s="5"/>
      <c r="H269" s="5"/>
      <c r="I269" s="9"/>
    </row>
    <row r="270" ht="24" customHeight="1" spans="1:9">
      <c r="A270" s="4"/>
    </row>
    <row r="271" ht="24" customHeight="1" spans="1:9">
      <c r="A271" s="4"/>
    </row>
    <row r="272" ht="24" customHeight="1" spans="1:9">
      <c r="A272" s="4"/>
    </row>
    <row r="273" ht="24" customHeight="1" spans="1:1">
      <c r="A273" s="4"/>
    </row>
    <row r="274" ht="24" customHeight="1" spans="1:1">
      <c r="A274" s="4"/>
    </row>
    <row r="275" ht="24" customHeight="1" spans="1:1">
      <c r="A275" s="4"/>
    </row>
    <row r="276" ht="24" customHeight="1" spans="1:1">
      <c r="A276" s="4" t="s">
        <v>523</v>
      </c>
    </row>
    <row r="277" ht="24" customHeight="1" spans="1:1">
      <c r="A277" s="4" t="s">
        <v>524</v>
      </c>
    </row>
    <row r="278" ht="24" customHeight="1" spans="1:1">
      <c r="A278" s="4" t="s">
        <v>525</v>
      </c>
    </row>
    <row r="279" ht="24" customHeight="1" spans="1:1">
      <c r="A279" s="4" t="s">
        <v>526</v>
      </c>
    </row>
    <row r="280" ht="24" customHeight="1" spans="1:1">
      <c r="A280" s="4" t="s">
        <v>527</v>
      </c>
    </row>
    <row r="281" ht="24" customHeight="1" spans="1:1">
      <c r="A281" s="4" t="s">
        <v>528</v>
      </c>
    </row>
    <row r="282" ht="24" customHeight="1" spans="1:1">
      <c r="A282" s="4" t="s">
        <v>529</v>
      </c>
    </row>
  </sheetData>
  <mergeCells count="2">
    <mergeCell ref="A3:I3"/>
    <mergeCell ref="A1:I2"/>
  </mergeCells>
  <dataValidations count="3">
    <dataValidation type="list" sqref="B6:B217 B218:B269">
      <formula1>弹簧设置!$A$6:$A$15</formula1>
    </dataValidation>
    <dataValidation type="whole" operator="between" sqref="C6:C269">
      <formula1>1</formula1>
      <formula2>999</formula2>
    </dataValidation>
    <dataValidation type="list" sqref="F6:F269">
      <formula1>"否,是"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实验设置</vt:lpstr>
      <vt:lpstr>弹簧设置</vt:lpstr>
      <vt:lpstr>Trial记录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27705</cp:lastModifiedBy>
  <dcterms:created xsi:type="dcterms:W3CDTF">2026-07-29T16:40:00Z</dcterms:created>
  <dcterms:modified xsi:type="dcterms:W3CDTF">2026-08-03T03:50:42Z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1230F5C52C994B62AC064756D919901E_13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