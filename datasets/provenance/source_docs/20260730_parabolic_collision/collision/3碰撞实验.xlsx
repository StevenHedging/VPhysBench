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<sst xmlns="http://schemas.openxmlformats.org/spreadsheetml/2006/main" count="123" uniqueCount="55">
  <si>
    <t>序号</t>
  </si>
  <si>
    <t>视频</t>
  </si>
  <si>
    <t>左速度</t>
  </si>
  <si>
    <t>右速度</t>
  </si>
  <si>
    <t>左挡光时间</t>
  </si>
  <si>
    <t>右挡光时间</t>
  </si>
  <si>
    <t>左撞击球直径 m</t>
  </si>
  <si>
    <t>左撞击球质量</t>
  </si>
  <si>
    <t>右撞击球直径</t>
  </si>
  <si>
    <t>右撞击球质量</t>
  </si>
  <si>
    <t>备注</t>
  </si>
  <si>
    <t>IMG_1122</t>
  </si>
  <si>
    <t>14g</t>
  </si>
  <si>
    <t>速度均为撞前25cm瞬时速度</t>
  </si>
  <si>
    <t>IMG_1123</t>
  </si>
  <si>
    <t>IMG_1124</t>
  </si>
  <si>
    <t>IMG_1127</t>
  </si>
  <si>
    <t>IMG_1130</t>
  </si>
  <si>
    <t>IMG_1131</t>
  </si>
  <si>
    <t>IMG_1132</t>
  </si>
  <si>
    <t>IMG_1133</t>
  </si>
  <si>
    <t>IMG_1136</t>
  </si>
  <si>
    <t>IMG_1137</t>
  </si>
  <si>
    <t>IMG_1140</t>
  </si>
  <si>
    <t>IMG_1142</t>
  </si>
  <si>
    <t>IMG_1143</t>
  </si>
  <si>
    <t>IMG_1144</t>
  </si>
  <si>
    <t>IMG_1145</t>
  </si>
  <si>
    <t>IMG_1147</t>
  </si>
  <si>
    <t>IMG_1149</t>
  </si>
  <si>
    <t>IMG_1150</t>
  </si>
  <si>
    <t>IMG_1151</t>
  </si>
  <si>
    <t>IMG_1152</t>
  </si>
  <si>
    <t>IMG_1153</t>
  </si>
  <si>
    <t>IMG_1154</t>
  </si>
  <si>
    <t>IMG_1155</t>
  </si>
  <si>
    <t>IMG_1156</t>
  </si>
  <si>
    <t>IMG_1157</t>
  </si>
  <si>
    <t>IMG_1158</t>
  </si>
  <si>
    <t>33g</t>
  </si>
  <si>
    <t>IMG_1160</t>
  </si>
  <si>
    <t>IMG_1162</t>
  </si>
  <si>
    <t>IMG_1163</t>
  </si>
  <si>
    <t>IMG_1164</t>
  </si>
  <si>
    <t>黑色背景31</t>
  </si>
  <si>
    <t>IMG_1167</t>
  </si>
  <si>
    <t xml:space="preserve"> </t>
  </si>
  <si>
    <t>黑色背景32</t>
  </si>
  <si>
    <t>IMG_1169</t>
  </si>
  <si>
    <t>黑色背景33</t>
  </si>
  <si>
    <t>IMG_1170</t>
  </si>
  <si>
    <t>黑色背景34</t>
  </si>
  <si>
    <t>IMG_1171</t>
  </si>
  <si>
    <t>黑色背景35</t>
  </si>
  <si>
    <t>IMG_1173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</si>
</sst>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1"/>
  <sheetViews>
    <sheetView tabSelected="1" workbookViewId="0">
      <selection activeCell="J27" sqref="J27"/>
    </sheetView>
  </sheetViews>
  <sheetFormatPr defaultColWidth="8.89090909090909" defaultRowHeight="14"/>
  <cols>
    <col min="1" max="1" width="11.8181818181818" customWidth="1"/>
    <col min="4" max="5" width="15.1818181818182"/>
    <col min="6" max="6" width="12.7272727272727" customWidth="1"/>
  </cols>
  <sheetData>
    <row r="1" s="1" customFormat="1" spans="1:26">
      <c r="A1" s="1" t="s">
        <v>0</v>
      </c>
      <c r="B1" s="2" t="s">
        <v>1</v>
      </c>
      <c r="C1" s="2"/>
      <c r="D1" s="2" t="s">
        <v>2</v>
      </c>
      <c r="E1" s="2" t="s">
        <v>3</v>
      </c>
      <c r="F1" s="2"/>
      <c r="G1" s="2" t="s">
        <v>4</v>
      </c>
      <c r="H1" s="2"/>
      <c r="I1" s="2" t="s">
        <v>5</v>
      </c>
      <c r="J1" s="2"/>
      <c r="K1" s="2" t="s">
        <v>6</v>
      </c>
      <c r="L1" s="2"/>
      <c r="M1" s="2" t="s">
        <v>7</v>
      </c>
      <c r="N1" s="2"/>
      <c r="O1" s="2" t="s">
        <v>8</v>
      </c>
      <c r="P1" s="2"/>
      <c r="Q1" s="2" t="s">
        <v>9</v>
      </c>
      <c r="R1" s="2"/>
      <c r="S1" s="2" t="s">
        <v>10</v>
      </c>
      <c r="T1" s="2"/>
      <c r="U1" s="2"/>
      <c r="V1" s="2"/>
      <c r="W1" s="2"/>
      <c r="X1" s="2"/>
      <c r="Y1" s="2"/>
      <c r="Z1" s="2"/>
    </row>
    <row r="2" spans="1:26">
      <c r="A2">
        <v>1</v>
      </c>
      <c r="B2" s="2" t="s">
        <v>11</v>
      </c>
      <c r="C2" s="2"/>
      <c r="D2" s="3">
        <f>K2/G2</f>
        <v>0.931972789115646</v>
      </c>
      <c r="E2" s="4">
        <f>O2/I2</f>
        <v>0.931339225016995</v>
      </c>
      <c r="F2" s="4"/>
      <c r="G2" s="5">
        <v>0.0147</v>
      </c>
      <c r="H2" s="2"/>
      <c r="I2" s="2">
        <v>0.01471</v>
      </c>
      <c r="J2" s="2"/>
      <c r="K2" s="2">
        <v>0.0137</v>
      </c>
      <c r="L2" s="2"/>
      <c r="M2" s="2" t="s">
        <v>12</v>
      </c>
      <c r="N2" s="2"/>
      <c r="O2" s="2">
        <v>0.0137</v>
      </c>
      <c r="P2" s="2"/>
      <c r="Q2" s="2" t="s">
        <v>12</v>
      </c>
      <c r="R2" s="2"/>
      <c r="S2" s="2" t="s">
        <v>13</v>
      </c>
      <c r="T2" s="2"/>
      <c r="U2" s="2"/>
      <c r="V2" s="2"/>
    </row>
    <row r="3" spans="1:26">
      <c r="A3">
        <v>2</v>
      </c>
      <c r="B3" s="2" t="s">
        <v>14</v>
      </c>
      <c r="C3" s="2"/>
      <c r="D3" s="3">
        <f t="shared" ref="D3:D37" si="0">K3/G3</f>
        <v>0.935153583617747</v>
      </c>
      <c r="E3" s="4">
        <f t="shared" ref="E3:E37" si="1">O3/I3</f>
        <v>0.972320794889993</v>
      </c>
      <c r="F3" s="4"/>
      <c r="G3" s="2">
        <v>0.01465</v>
      </c>
      <c r="H3" s="2"/>
      <c r="I3" s="2">
        <v>0.01409</v>
      </c>
      <c r="J3" s="2"/>
      <c r="K3" s="2">
        <v>0.0137</v>
      </c>
      <c r="L3" s="2"/>
      <c r="M3" s="2" t="s">
        <v>12</v>
      </c>
      <c r="N3" s="2"/>
      <c r="O3" s="2">
        <v>0.0137</v>
      </c>
      <c r="P3" s="2"/>
      <c r="Q3" s="2" t="s">
        <v>12</v>
      </c>
      <c r="R3" s="2"/>
      <c r="S3" s="2"/>
      <c r="T3" s="2"/>
      <c r="U3" s="2"/>
      <c r="V3" s="2"/>
    </row>
    <row r="4" spans="1:26">
      <c r="A4">
        <v>3</v>
      </c>
      <c r="B4" s="2" t="s">
        <v>15</v>
      </c>
      <c r="C4" s="2"/>
      <c r="D4" s="3">
        <f t="shared" si="0"/>
        <v>0.931339225016995</v>
      </c>
      <c r="E4" s="4">
        <f t="shared" si="1"/>
        <v>0.99060014461316</v>
      </c>
      <c r="F4" s="4"/>
      <c r="G4" s="2">
        <v>0.01471</v>
      </c>
      <c r="H4" s="2"/>
      <c r="I4" s="2">
        <v>0.01383</v>
      </c>
      <c r="J4" s="2"/>
      <c r="K4" s="2">
        <v>0.0137</v>
      </c>
      <c r="L4" s="2"/>
      <c r="M4" s="2" t="s">
        <v>12</v>
      </c>
      <c r="N4" s="2"/>
      <c r="O4" s="2">
        <v>0.0137</v>
      </c>
      <c r="P4" s="2"/>
      <c r="Q4" s="2" t="s">
        <v>12</v>
      </c>
      <c r="R4" s="2"/>
      <c r="S4" s="2"/>
      <c r="T4" s="2"/>
      <c r="U4" s="2"/>
      <c r="V4" s="2"/>
    </row>
    <row r="5" spans="1:26">
      <c r="A5">
        <v>4</v>
      </c>
      <c r="B5" s="2" t="s">
        <v>16</v>
      </c>
      <c r="C5" s="2"/>
      <c r="D5" s="3">
        <f t="shared" si="0"/>
        <v>0.931339225016995</v>
      </c>
      <c r="E5" s="4">
        <f t="shared" si="1"/>
        <v>0.944176430048243</v>
      </c>
      <c r="F5" s="4"/>
      <c r="G5" s="2">
        <v>0.01471</v>
      </c>
      <c r="H5" s="2"/>
      <c r="I5" s="2">
        <v>0.01451</v>
      </c>
      <c r="J5" s="2"/>
      <c r="K5" s="2">
        <v>0.0137</v>
      </c>
      <c r="L5" s="2"/>
      <c r="M5" s="2" t="s">
        <v>12</v>
      </c>
      <c r="N5" s="2"/>
      <c r="O5" s="2">
        <v>0.0137</v>
      </c>
      <c r="P5" s="2"/>
      <c r="Q5" s="2" t="s">
        <v>12</v>
      </c>
      <c r="R5" s="2"/>
      <c r="S5" s="2"/>
      <c r="T5" s="2"/>
      <c r="U5" s="2"/>
      <c r="V5" s="2"/>
    </row>
    <row r="6" spans="1:26">
      <c r="A6">
        <v>5</v>
      </c>
      <c r="B6" s="2" t="s">
        <v>17</v>
      </c>
      <c r="C6" s="2"/>
      <c r="D6" s="3">
        <f t="shared" si="0"/>
        <v>0.933878663940014</v>
      </c>
      <c r="E6" s="4">
        <f t="shared" si="1"/>
        <v>0.97997138769671</v>
      </c>
      <c r="F6" s="4"/>
      <c r="G6" s="2">
        <v>0.01467</v>
      </c>
      <c r="H6" s="2"/>
      <c r="I6" s="2">
        <v>0.01398</v>
      </c>
      <c r="J6" s="2"/>
      <c r="K6" s="2">
        <v>0.0137</v>
      </c>
      <c r="L6" s="2"/>
      <c r="M6" s="2" t="s">
        <v>12</v>
      </c>
      <c r="N6" s="2"/>
      <c r="O6" s="2">
        <v>0.0137</v>
      </c>
      <c r="P6" s="2"/>
      <c r="Q6" s="2" t="s">
        <v>12</v>
      </c>
      <c r="R6" s="2"/>
      <c r="S6" s="2"/>
      <c r="T6" s="2"/>
      <c r="U6" s="2"/>
      <c r="V6" s="2"/>
    </row>
    <row r="7" spans="1:26">
      <c r="A7">
        <v>6</v>
      </c>
      <c r="B7" s="2" t="s">
        <v>18</v>
      </c>
      <c r="C7" s="2"/>
      <c r="D7" s="3">
        <f t="shared" si="0"/>
        <v>0.921938088829071</v>
      </c>
      <c r="E7" s="4">
        <f t="shared" si="1"/>
        <v>1.0185873605948</v>
      </c>
      <c r="F7" s="4"/>
      <c r="G7" s="2">
        <v>0.01486</v>
      </c>
      <c r="H7" s="2"/>
      <c r="I7" s="2">
        <v>0.01345</v>
      </c>
      <c r="J7" s="2"/>
      <c r="K7" s="2">
        <v>0.0137</v>
      </c>
      <c r="L7" s="2"/>
      <c r="M7" s="2" t="s">
        <v>12</v>
      </c>
      <c r="N7" s="2"/>
      <c r="O7" s="2">
        <v>0.0137</v>
      </c>
      <c r="P7" s="2"/>
      <c r="Q7" s="2" t="s">
        <v>12</v>
      </c>
      <c r="R7" s="2"/>
      <c r="S7" s="2"/>
      <c r="T7" s="2"/>
      <c r="U7" s="2"/>
      <c r="V7" s="2"/>
    </row>
    <row r="8" spans="1:26">
      <c r="A8">
        <v>7</v>
      </c>
      <c r="B8" s="2" t="s">
        <v>19</v>
      </c>
      <c r="C8" s="2"/>
      <c r="D8" s="3">
        <f t="shared" si="0"/>
        <v>0.920698924731183</v>
      </c>
      <c r="E8" s="4">
        <f t="shared" si="1"/>
        <v>1.01556708673091</v>
      </c>
      <c r="F8" s="4"/>
      <c r="G8" s="2">
        <v>0.01488</v>
      </c>
      <c r="H8" s="2"/>
      <c r="I8" s="2">
        <v>0.01349</v>
      </c>
      <c r="J8" s="2"/>
      <c r="K8" s="2">
        <v>0.0137</v>
      </c>
      <c r="L8" s="2"/>
      <c r="M8" s="2" t="s">
        <v>12</v>
      </c>
      <c r="N8" s="2"/>
      <c r="O8" s="2">
        <v>0.0137</v>
      </c>
      <c r="P8" s="2"/>
      <c r="Q8" s="2" t="s">
        <v>12</v>
      </c>
      <c r="R8" s="2"/>
      <c r="S8" s="2"/>
      <c r="T8" s="2"/>
      <c r="U8" s="2"/>
      <c r="V8" s="2"/>
    </row>
    <row r="9" spans="1:26">
      <c r="A9">
        <v>8</v>
      </c>
      <c r="B9" s="2" t="s">
        <v>20</v>
      </c>
      <c r="C9" s="2"/>
      <c r="D9" s="3">
        <f t="shared" si="0"/>
        <v>0.920698924731183</v>
      </c>
      <c r="E9" s="4">
        <f t="shared" si="1"/>
        <v>0.979270907791279</v>
      </c>
      <c r="F9" s="4"/>
      <c r="G9" s="2">
        <v>0.01488</v>
      </c>
      <c r="H9" s="2"/>
      <c r="I9" s="2">
        <v>0.01399</v>
      </c>
      <c r="J9" s="2"/>
      <c r="K9" s="2">
        <v>0.0137</v>
      </c>
      <c r="L9" s="2"/>
      <c r="M9" s="2" t="s">
        <v>12</v>
      </c>
      <c r="N9" s="2"/>
      <c r="O9" s="2">
        <v>0.0137</v>
      </c>
      <c r="P9" s="2"/>
      <c r="Q9" s="2" t="s">
        <v>12</v>
      </c>
      <c r="R9" s="2"/>
      <c r="S9" s="2"/>
      <c r="T9" s="2"/>
      <c r="U9" s="2"/>
      <c r="V9" s="2"/>
    </row>
    <row r="10" spans="1:26">
      <c r="A10">
        <v>9</v>
      </c>
      <c r="B10" s="2" t="s">
        <v>21</v>
      </c>
      <c r="C10" s="2"/>
      <c r="D10" s="3">
        <f t="shared" si="0"/>
        <v>0.933242506811989</v>
      </c>
      <c r="E10" s="4">
        <f t="shared" si="1"/>
        <v>1.02930127723516</v>
      </c>
      <c r="F10" s="4"/>
      <c r="G10" s="2">
        <v>0.01468</v>
      </c>
      <c r="H10" s="2"/>
      <c r="I10" s="2">
        <v>0.01331</v>
      </c>
      <c r="J10" s="2"/>
      <c r="K10" s="2">
        <v>0.0137</v>
      </c>
      <c r="L10" s="2"/>
      <c r="M10" s="2" t="s">
        <v>12</v>
      </c>
      <c r="N10" s="2"/>
      <c r="O10" s="2">
        <v>0.0137</v>
      </c>
      <c r="P10" s="2"/>
      <c r="Q10" s="2" t="s">
        <v>12</v>
      </c>
      <c r="R10" s="2"/>
      <c r="S10" s="2"/>
      <c r="T10" s="2"/>
      <c r="U10" s="2"/>
      <c r="V10" s="2"/>
    </row>
    <row r="11" spans="1:26">
      <c r="A11">
        <v>10</v>
      </c>
      <c r="B11" s="2" t="s">
        <v>22</v>
      </c>
      <c r="C11" s="2"/>
      <c r="D11" s="3">
        <f t="shared" si="0"/>
        <v>0.934515688949523</v>
      </c>
      <c r="E11" s="4">
        <f t="shared" si="1"/>
        <v>1.02315160567588</v>
      </c>
      <c r="F11" s="4"/>
      <c r="G11" s="2">
        <v>0.01466</v>
      </c>
      <c r="H11" s="2"/>
      <c r="I11" s="2">
        <v>0.01339</v>
      </c>
      <c r="J11" s="2"/>
      <c r="K11" s="2">
        <v>0.0137</v>
      </c>
      <c r="L11" s="2"/>
      <c r="M11" s="2" t="s">
        <v>12</v>
      </c>
      <c r="N11" s="2"/>
      <c r="O11" s="2">
        <v>0.0137</v>
      </c>
      <c r="P11" s="2"/>
      <c r="Q11" s="2" t="s">
        <v>12</v>
      </c>
      <c r="R11" s="2"/>
      <c r="S11" s="2"/>
      <c r="T11" s="2"/>
      <c r="U11" s="2"/>
      <c r="V11" s="2"/>
    </row>
    <row r="12" spans="1:26">
      <c r="A12">
        <v>11</v>
      </c>
      <c r="B12" s="2" t="s">
        <v>23</v>
      </c>
      <c r="C12" s="2"/>
      <c r="D12" s="3">
        <f t="shared" si="0"/>
        <v>1.07619795758052</v>
      </c>
      <c r="E12" s="4">
        <f t="shared" si="1"/>
        <v>0.998542274052478</v>
      </c>
      <c r="F12" s="4"/>
      <c r="G12" s="5">
        <v>0.01273</v>
      </c>
      <c r="H12" s="2"/>
      <c r="I12" s="2">
        <v>0.01372</v>
      </c>
      <c r="J12" s="2"/>
      <c r="K12" s="2">
        <v>0.0137</v>
      </c>
      <c r="L12" s="2"/>
      <c r="M12" s="2" t="s">
        <v>12</v>
      </c>
      <c r="N12" s="2"/>
      <c r="O12" s="2">
        <v>0.0137</v>
      </c>
      <c r="P12" s="2"/>
      <c r="Q12" s="2" t="s">
        <v>12</v>
      </c>
      <c r="R12" s="2"/>
      <c r="S12" s="2"/>
      <c r="T12" s="2"/>
      <c r="U12" s="2"/>
      <c r="V12" s="2"/>
    </row>
    <row r="13" spans="1:26">
      <c r="A13">
        <v>12</v>
      </c>
      <c r="B13" s="2" t="s">
        <v>24</v>
      </c>
      <c r="C13" s="2"/>
      <c r="D13" s="3">
        <f t="shared" si="0"/>
        <v>1.05384615384615</v>
      </c>
      <c r="E13" s="4">
        <f t="shared" si="1"/>
        <v>1.01632047477745</v>
      </c>
      <c r="F13" s="4"/>
      <c r="G13" s="5">
        <v>0.013</v>
      </c>
      <c r="H13" s="2"/>
      <c r="I13" s="2">
        <v>0.01348</v>
      </c>
      <c r="J13" s="2"/>
      <c r="K13" s="2">
        <v>0.0137</v>
      </c>
      <c r="L13" s="2"/>
      <c r="M13" s="2" t="s">
        <v>12</v>
      </c>
      <c r="N13" s="2"/>
      <c r="O13" s="2">
        <v>0.0137</v>
      </c>
      <c r="P13" s="2"/>
      <c r="Q13" s="2" t="s">
        <v>12</v>
      </c>
      <c r="R13" s="2"/>
      <c r="S13" s="2"/>
      <c r="T13" s="2"/>
      <c r="U13" s="2"/>
      <c r="V13" s="2"/>
    </row>
    <row r="14" spans="1:26">
      <c r="A14">
        <v>13</v>
      </c>
      <c r="B14" s="2" t="s">
        <v>25</v>
      </c>
      <c r="C14" s="2"/>
      <c r="D14" s="3">
        <f t="shared" si="0"/>
        <v>1.04820198928845</v>
      </c>
      <c r="E14" s="4">
        <f t="shared" si="1"/>
        <v>1.02391629297459</v>
      </c>
      <c r="F14" s="4"/>
      <c r="G14" s="2">
        <v>0.01307</v>
      </c>
      <c r="H14" s="2"/>
      <c r="I14" s="2">
        <v>0.01338</v>
      </c>
      <c r="J14" s="2"/>
      <c r="K14" s="2">
        <v>0.0137</v>
      </c>
      <c r="L14" s="2"/>
      <c r="M14" s="2" t="s">
        <v>12</v>
      </c>
      <c r="N14" s="2"/>
      <c r="O14" s="2">
        <v>0.0137</v>
      </c>
      <c r="P14" s="2"/>
      <c r="Q14" s="2" t="s">
        <v>12</v>
      </c>
      <c r="R14" s="2"/>
      <c r="S14" s="2"/>
      <c r="T14" s="2"/>
      <c r="U14" s="2"/>
      <c r="V14" s="2"/>
    </row>
    <row r="15" spans="1:26">
      <c r="A15">
        <v>14</v>
      </c>
      <c r="B15" s="2" t="s">
        <v>26</v>
      </c>
      <c r="C15" s="2"/>
      <c r="D15" s="3">
        <f t="shared" si="0"/>
        <v>1.06864274570983</v>
      </c>
      <c r="E15" s="4">
        <f t="shared" si="1"/>
        <v>0.981375358166189</v>
      </c>
      <c r="F15" s="4"/>
      <c r="G15" s="2">
        <v>0.01282</v>
      </c>
      <c r="H15" s="2"/>
      <c r="I15" s="2">
        <v>0.01396</v>
      </c>
      <c r="J15" s="2"/>
      <c r="K15" s="2">
        <v>0.0137</v>
      </c>
      <c r="L15" s="2"/>
      <c r="M15" s="2" t="s">
        <v>12</v>
      </c>
      <c r="N15" s="2"/>
      <c r="O15" s="2">
        <v>0.0137</v>
      </c>
      <c r="P15" s="2"/>
      <c r="Q15" s="2" t="s">
        <v>12</v>
      </c>
      <c r="R15" s="2"/>
      <c r="S15" s="2"/>
      <c r="T15" s="2"/>
      <c r="U15" s="2"/>
      <c r="V15" s="2"/>
    </row>
    <row r="16" spans="1:26">
      <c r="A16">
        <v>15</v>
      </c>
      <c r="B16" s="2" t="s">
        <v>27</v>
      </c>
      <c r="C16" s="2"/>
      <c r="D16" s="3">
        <f t="shared" si="0"/>
        <v>1.05791505791506</v>
      </c>
      <c r="E16" s="4">
        <f t="shared" si="1"/>
        <v>0.984195402298851</v>
      </c>
      <c r="F16" s="4"/>
      <c r="G16" s="2">
        <v>0.01295</v>
      </c>
      <c r="H16" s="2"/>
      <c r="I16" s="2">
        <v>0.01392</v>
      </c>
      <c r="J16" s="2"/>
      <c r="K16" s="2">
        <v>0.0137</v>
      </c>
      <c r="L16" s="2"/>
      <c r="M16" s="2" t="s">
        <v>12</v>
      </c>
      <c r="N16" s="2"/>
      <c r="O16" s="2">
        <v>0.0137</v>
      </c>
      <c r="P16" s="2"/>
      <c r="Q16" s="2" t="s">
        <v>12</v>
      </c>
      <c r="R16" s="2"/>
      <c r="S16" s="2"/>
      <c r="T16" s="2"/>
      <c r="U16" s="2"/>
      <c r="V16" s="2"/>
    </row>
    <row r="17" spans="1:22">
      <c r="A17">
        <v>16</v>
      </c>
      <c r="B17" s="2" t="s">
        <v>28</v>
      </c>
      <c r="C17" s="2"/>
      <c r="D17" s="3">
        <f t="shared" si="0"/>
        <v>1.12111292962357</v>
      </c>
      <c r="E17" s="4">
        <f t="shared" si="1"/>
        <v>1.06366459627329</v>
      </c>
      <c r="F17" s="4"/>
      <c r="G17" s="2">
        <v>0.01222</v>
      </c>
      <c r="H17" s="2"/>
      <c r="I17" s="2">
        <v>0.01288</v>
      </c>
      <c r="J17" s="2"/>
      <c r="K17" s="2">
        <v>0.0137</v>
      </c>
      <c r="L17" s="2"/>
      <c r="M17" s="2" t="s">
        <v>12</v>
      </c>
      <c r="N17" s="2"/>
      <c r="O17" s="2">
        <v>0.0137</v>
      </c>
      <c r="P17" s="2"/>
      <c r="Q17" s="2" t="s">
        <v>12</v>
      </c>
      <c r="R17" s="2"/>
      <c r="S17" s="2"/>
      <c r="T17" s="2"/>
      <c r="U17" s="2"/>
      <c r="V17" s="2"/>
    </row>
    <row r="18" spans="1:22">
      <c r="A18">
        <v>17</v>
      </c>
      <c r="B18" s="2" t="s">
        <v>29</v>
      </c>
      <c r="C18" s="2"/>
      <c r="D18" s="3">
        <f t="shared" si="0"/>
        <v>1.13787375415282</v>
      </c>
      <c r="E18" s="4">
        <f t="shared" si="1"/>
        <v>1.08386075949367</v>
      </c>
      <c r="F18" s="4"/>
      <c r="G18" s="2">
        <v>0.01204</v>
      </c>
      <c r="H18" s="2"/>
      <c r="I18" s="2">
        <v>0.01264</v>
      </c>
      <c r="J18" s="2"/>
      <c r="K18" s="2">
        <v>0.0137</v>
      </c>
      <c r="L18" s="2"/>
      <c r="M18" s="2" t="s">
        <v>12</v>
      </c>
      <c r="N18" s="2"/>
      <c r="O18" s="2">
        <v>0.0137</v>
      </c>
      <c r="P18" s="2"/>
      <c r="Q18" s="2" t="s">
        <v>12</v>
      </c>
      <c r="R18" s="2"/>
      <c r="S18" s="2"/>
      <c r="T18" s="2"/>
      <c r="U18" s="2"/>
      <c r="V18" s="2"/>
    </row>
    <row r="19" spans="1:22">
      <c r="A19">
        <v>18</v>
      </c>
      <c r="B19" s="2" t="s">
        <v>30</v>
      </c>
      <c r="C19" s="2"/>
      <c r="D19" s="3">
        <f t="shared" si="0"/>
        <v>1.15514333895447</v>
      </c>
      <c r="E19" s="4">
        <f t="shared" si="1"/>
        <v>1.06614785992218</v>
      </c>
      <c r="F19" s="4"/>
      <c r="G19" s="2">
        <v>0.01186</v>
      </c>
      <c r="H19" s="2"/>
      <c r="I19" s="2">
        <v>0.01285</v>
      </c>
      <c r="J19" s="2"/>
      <c r="K19" s="2">
        <v>0.0137</v>
      </c>
      <c r="L19" s="2"/>
      <c r="M19" s="2" t="s">
        <v>12</v>
      </c>
      <c r="N19" s="2"/>
      <c r="O19" s="2">
        <v>0.0137</v>
      </c>
      <c r="P19" s="2"/>
      <c r="Q19" s="2" t="s">
        <v>12</v>
      </c>
      <c r="R19" s="2"/>
      <c r="S19" s="2"/>
      <c r="T19" s="2"/>
      <c r="U19" s="2"/>
      <c r="V19" s="2"/>
    </row>
    <row r="20" spans="1:22">
      <c r="A20">
        <v>19</v>
      </c>
      <c r="B20" s="2" t="s">
        <v>31</v>
      </c>
      <c r="C20" s="2"/>
      <c r="D20" s="3">
        <f t="shared" si="0"/>
        <v>1.04182509505703</v>
      </c>
      <c r="E20" s="4">
        <f t="shared" si="1"/>
        <v>1.13598673300166</v>
      </c>
      <c r="F20" s="4"/>
      <c r="G20" s="2">
        <v>0.01315</v>
      </c>
      <c r="H20" s="2"/>
      <c r="I20" s="2">
        <v>0.01206</v>
      </c>
      <c r="J20" s="2"/>
      <c r="K20" s="2">
        <v>0.0137</v>
      </c>
      <c r="L20" s="2"/>
      <c r="M20" s="2" t="s">
        <v>12</v>
      </c>
      <c r="N20" s="2"/>
      <c r="O20" s="2">
        <v>0.0137</v>
      </c>
      <c r="P20" s="2"/>
      <c r="Q20" s="2" t="s">
        <v>12</v>
      </c>
      <c r="R20" s="2"/>
      <c r="S20" s="2"/>
      <c r="T20" s="2"/>
      <c r="U20" s="2"/>
      <c r="V20" s="2"/>
    </row>
    <row r="21" spans="1:22">
      <c r="A21">
        <v>20</v>
      </c>
      <c r="B21" s="2" t="s">
        <v>32</v>
      </c>
      <c r="C21" s="2"/>
      <c r="D21" s="3">
        <f t="shared" si="0"/>
        <v>1.10573042776433</v>
      </c>
      <c r="E21" s="4">
        <f t="shared" si="1"/>
        <v>1.06037151702786</v>
      </c>
      <c r="F21" s="4"/>
      <c r="G21" s="2">
        <v>0.01239</v>
      </c>
      <c r="H21" s="2"/>
      <c r="I21" s="2">
        <v>0.01292</v>
      </c>
      <c r="J21" s="2"/>
      <c r="K21" s="2">
        <v>0.0137</v>
      </c>
      <c r="L21" s="2"/>
      <c r="M21" s="2" t="s">
        <v>12</v>
      </c>
      <c r="N21" s="2"/>
      <c r="O21" s="2">
        <v>0.0137</v>
      </c>
      <c r="P21" s="2"/>
      <c r="Q21" s="2" t="s">
        <v>12</v>
      </c>
      <c r="R21" s="2"/>
      <c r="S21" s="2"/>
      <c r="T21" s="2"/>
      <c r="U21" s="2"/>
      <c r="V21" s="2"/>
    </row>
    <row r="22" spans="1:22">
      <c r="A22">
        <v>21</v>
      </c>
      <c r="B22" s="2" t="s">
        <v>33</v>
      </c>
      <c r="C22" s="2"/>
      <c r="D22" s="3">
        <f t="shared" si="0"/>
        <v>1.10483870967742</v>
      </c>
      <c r="E22" s="4">
        <f t="shared" si="1"/>
        <v>1.08471892319873</v>
      </c>
      <c r="F22" s="4"/>
      <c r="G22" s="5">
        <v>0.0124</v>
      </c>
      <c r="H22" s="2"/>
      <c r="I22" s="2">
        <v>0.01263</v>
      </c>
      <c r="J22" s="2"/>
      <c r="K22" s="2">
        <v>0.0137</v>
      </c>
      <c r="L22" s="2"/>
      <c r="M22" s="2" t="s">
        <v>12</v>
      </c>
      <c r="N22" s="2"/>
      <c r="O22" s="2">
        <v>0.0137</v>
      </c>
      <c r="P22" s="2"/>
      <c r="Q22" s="2" t="s">
        <v>12</v>
      </c>
      <c r="R22" s="2"/>
      <c r="S22" s="2"/>
      <c r="T22" s="2"/>
      <c r="U22" s="2"/>
      <c r="V22" s="2"/>
    </row>
    <row r="23" spans="1:22">
      <c r="A23">
        <v>22</v>
      </c>
      <c r="B23" s="2" t="s">
        <v>34</v>
      </c>
      <c r="C23" s="2"/>
      <c r="D23" s="3">
        <f t="shared" si="0"/>
        <v>1.10751818916734</v>
      </c>
      <c r="E23" s="4">
        <f t="shared" si="1"/>
        <v>1.06864274570983</v>
      </c>
      <c r="F23" s="4"/>
      <c r="G23" s="2">
        <v>0.01237</v>
      </c>
      <c r="H23" s="2"/>
      <c r="I23" s="2">
        <v>0.01282</v>
      </c>
      <c r="J23" s="2"/>
      <c r="K23" s="2">
        <v>0.0137</v>
      </c>
      <c r="L23" s="2"/>
      <c r="M23" s="2" t="s">
        <v>12</v>
      </c>
      <c r="N23" s="2"/>
      <c r="O23" s="2">
        <v>0.0137</v>
      </c>
      <c r="P23" s="2"/>
      <c r="Q23" s="2" t="s">
        <v>12</v>
      </c>
      <c r="R23" s="2"/>
      <c r="S23" s="2"/>
      <c r="T23" s="2"/>
      <c r="U23" s="2"/>
      <c r="V23" s="2"/>
    </row>
    <row r="24" spans="1:22">
      <c r="A24">
        <v>23</v>
      </c>
      <c r="B24" s="2" t="s">
        <v>35</v>
      </c>
      <c r="C24" s="2"/>
      <c r="D24" s="3">
        <f t="shared" si="0"/>
        <v>1.12757201646091</v>
      </c>
      <c r="E24" s="4">
        <f t="shared" si="1"/>
        <v>1.0795902285264</v>
      </c>
      <c r="F24" s="4"/>
      <c r="G24" s="2">
        <v>0.01215</v>
      </c>
      <c r="H24" s="2"/>
      <c r="I24" s="2">
        <v>0.01269</v>
      </c>
      <c r="J24" s="2"/>
      <c r="K24" s="2">
        <v>0.0137</v>
      </c>
      <c r="L24" s="2"/>
      <c r="M24" s="2" t="s">
        <v>12</v>
      </c>
      <c r="N24" s="2"/>
      <c r="O24" s="2">
        <v>0.0137</v>
      </c>
      <c r="P24" s="2"/>
      <c r="Q24" s="2" t="s">
        <v>12</v>
      </c>
      <c r="R24" s="2"/>
      <c r="S24" s="2"/>
      <c r="T24" s="2"/>
      <c r="U24" s="2"/>
      <c r="V24" s="2"/>
    </row>
    <row r="25" spans="1:22">
      <c r="A25">
        <v>24</v>
      </c>
      <c r="B25" s="2" t="s">
        <v>36</v>
      </c>
      <c r="C25" s="2"/>
      <c r="D25" s="3">
        <f t="shared" si="0"/>
        <v>1.10394842868654</v>
      </c>
      <c r="E25" s="4">
        <f t="shared" si="1"/>
        <v>1.06201550387597</v>
      </c>
      <c r="F25" s="4"/>
      <c r="G25" s="2">
        <v>0.01241</v>
      </c>
      <c r="H25" s="2"/>
      <c r="I25" s="5">
        <v>0.0129</v>
      </c>
      <c r="J25" s="2"/>
      <c r="K25" s="2">
        <v>0.0137</v>
      </c>
      <c r="L25" s="2"/>
      <c r="M25" s="2" t="s">
        <v>12</v>
      </c>
      <c r="N25" s="2"/>
      <c r="O25" s="2">
        <v>0.0137</v>
      </c>
      <c r="P25" s="2"/>
      <c r="Q25" s="2" t="s">
        <v>12</v>
      </c>
      <c r="R25" s="2"/>
      <c r="S25" s="2"/>
      <c r="T25" s="2"/>
      <c r="U25" s="2"/>
      <c r="V25" s="2"/>
    </row>
    <row r="26" spans="1:22">
      <c r="A26">
        <v>25</v>
      </c>
      <c r="B26" s="2" t="s">
        <v>37</v>
      </c>
      <c r="C26" s="2"/>
      <c r="D26" s="3">
        <f t="shared" si="0"/>
        <v>1.09951845906902</v>
      </c>
      <c r="E26" s="4">
        <f t="shared" si="1"/>
        <v>1.0795902285264</v>
      </c>
      <c r="F26" s="4"/>
      <c r="G26" s="2">
        <v>0.01246</v>
      </c>
      <c r="H26" s="2"/>
      <c r="I26" s="2">
        <v>0.01269</v>
      </c>
      <c r="J26" s="2"/>
      <c r="K26" s="2">
        <v>0.0137</v>
      </c>
      <c r="L26" s="2"/>
      <c r="M26" s="2" t="s">
        <v>12</v>
      </c>
      <c r="N26" s="2"/>
      <c r="O26" s="2">
        <v>0.0137</v>
      </c>
      <c r="P26" s="2"/>
      <c r="Q26" s="2" t="s">
        <v>12</v>
      </c>
      <c r="R26" s="2"/>
      <c r="S26" s="2"/>
      <c r="T26" s="2"/>
      <c r="U26" s="2"/>
      <c r="V26" s="2"/>
    </row>
    <row r="27" spans="1:22">
      <c r="B27" s="2"/>
      <c r="C27" s="2"/>
      <c r="D27" s="3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>
      <c r="A28">
        <v>26</v>
      </c>
      <c r="B28" s="2" t="s">
        <v>38</v>
      </c>
      <c r="C28" s="2"/>
      <c r="D28" s="3">
        <f t="shared" si="0"/>
        <v>0.581829495955196</v>
      </c>
      <c r="E28" s="4">
        <f t="shared" si="1"/>
        <v>1.12019623875715</v>
      </c>
      <c r="F28" s="4"/>
      <c r="G28" s="2">
        <v>0.03214</v>
      </c>
      <c r="H28" s="2"/>
      <c r="I28" s="2">
        <v>0.01223</v>
      </c>
      <c r="J28" s="2"/>
      <c r="K28" s="2">
        <v>0.0187</v>
      </c>
      <c r="L28" s="2"/>
      <c r="M28" s="2" t="s">
        <v>39</v>
      </c>
      <c r="N28" s="2"/>
      <c r="O28" s="2">
        <v>0.0137</v>
      </c>
      <c r="P28" s="2"/>
      <c r="Q28" s="2" t="s">
        <v>12</v>
      </c>
      <c r="R28" s="2"/>
      <c r="S28" s="2"/>
      <c r="T28" s="2"/>
      <c r="U28" s="2"/>
      <c r="V28" s="2"/>
    </row>
    <row r="29" spans="1:22">
      <c r="A29">
        <v>27</v>
      </c>
      <c r="B29" s="2" t="s">
        <v>40</v>
      </c>
      <c r="C29" s="2"/>
      <c r="D29" s="3">
        <f t="shared" si="0"/>
        <v>0.58712715855573</v>
      </c>
      <c r="E29" s="4">
        <f t="shared" si="1"/>
        <v>1.18205349439172</v>
      </c>
      <c r="F29" s="4"/>
      <c r="G29" s="2">
        <v>0.03185</v>
      </c>
      <c r="H29" s="2"/>
      <c r="I29" s="2">
        <v>0.01159</v>
      </c>
      <c r="J29" s="2"/>
      <c r="K29" s="2">
        <v>0.0187</v>
      </c>
      <c r="L29" s="2"/>
      <c r="M29" s="2" t="s">
        <v>39</v>
      </c>
      <c r="N29" s="2"/>
      <c r="O29" s="2">
        <v>0.0137</v>
      </c>
      <c r="P29" s="2"/>
      <c r="Q29" s="2" t="s">
        <v>12</v>
      </c>
      <c r="R29" s="2"/>
      <c r="S29" s="2"/>
      <c r="T29" s="2"/>
      <c r="U29" s="2"/>
      <c r="V29" s="2"/>
    </row>
    <row r="30" spans="1:22">
      <c r="A30">
        <v>28</v>
      </c>
      <c r="B30" s="2" t="s">
        <v>41</v>
      </c>
      <c r="C30" s="2"/>
      <c r="D30" s="3">
        <f t="shared" si="0"/>
        <v>0.593085949888995</v>
      </c>
      <c r="E30" s="4">
        <f t="shared" si="1"/>
        <v>1.16994022203245</v>
      </c>
      <c r="F30" s="4"/>
      <c r="G30" s="2">
        <v>0.03153</v>
      </c>
      <c r="H30" s="2"/>
      <c r="I30" s="5">
        <v>0.01171</v>
      </c>
      <c r="J30" s="2"/>
      <c r="K30" s="2">
        <v>0.0187</v>
      </c>
      <c r="L30" s="2"/>
      <c r="M30" s="2" t="s">
        <v>39</v>
      </c>
      <c r="N30" s="2"/>
      <c r="O30" s="2">
        <v>0.0137</v>
      </c>
      <c r="P30" s="2"/>
      <c r="Q30" s="2" t="s">
        <v>12</v>
      </c>
      <c r="R30" s="2"/>
      <c r="S30" s="2"/>
      <c r="T30" s="2"/>
      <c r="U30" s="2"/>
      <c r="V30" s="2"/>
    </row>
    <row r="31" spans="1:22">
      <c r="A31">
        <v>29</v>
      </c>
      <c r="B31" s="2" t="s">
        <v>42</v>
      </c>
      <c r="C31" s="2"/>
      <c r="D31" s="3">
        <f t="shared" si="0"/>
        <v>0.583099469909573</v>
      </c>
      <c r="E31" s="4">
        <f t="shared" si="1"/>
        <v>1.22430741733691</v>
      </c>
      <c r="F31" s="4"/>
      <c r="G31" s="2">
        <v>0.03207</v>
      </c>
      <c r="H31" s="2"/>
      <c r="I31" s="2">
        <v>0.01119</v>
      </c>
      <c r="J31" s="2"/>
      <c r="K31" s="2">
        <v>0.0187</v>
      </c>
      <c r="L31" s="2"/>
      <c r="M31" s="2" t="s">
        <v>39</v>
      </c>
      <c r="N31" s="2"/>
      <c r="O31" s="2">
        <v>0.0137</v>
      </c>
      <c r="P31" s="2"/>
      <c r="Q31" s="2" t="s">
        <v>12</v>
      </c>
      <c r="R31" s="2"/>
      <c r="S31" s="2"/>
      <c r="T31" s="2"/>
      <c r="U31" s="2"/>
      <c r="V31" s="2"/>
    </row>
    <row r="32" spans="1:22">
      <c r="A32">
        <v>30</v>
      </c>
      <c r="B32" s="2" t="s">
        <v>43</v>
      </c>
      <c r="C32" s="2"/>
      <c r="D32" s="3">
        <f t="shared" si="0"/>
        <v>0.59195948084837</v>
      </c>
      <c r="E32" s="4">
        <f t="shared" si="1"/>
        <v>1.17495711835334</v>
      </c>
      <c r="F32" s="4"/>
      <c r="G32" s="2">
        <v>0.03159</v>
      </c>
      <c r="H32" s="2"/>
      <c r="I32" s="2">
        <v>0.01166</v>
      </c>
      <c r="J32" s="2"/>
      <c r="K32" s="2">
        <v>0.0187</v>
      </c>
      <c r="L32" s="2"/>
      <c r="M32" s="2" t="s">
        <v>39</v>
      </c>
      <c r="N32" s="2"/>
      <c r="O32" s="2">
        <v>0.0137</v>
      </c>
      <c r="P32" s="2"/>
      <c r="Q32" s="2" t="s">
        <v>12</v>
      </c>
      <c r="R32" s="2"/>
      <c r="S32" s="2"/>
      <c r="T32" s="2"/>
      <c r="U32" s="2"/>
      <c r="V32" s="2"/>
    </row>
    <row r="33" spans="1:22">
      <c r="A33" t="s">
        <v>44</v>
      </c>
      <c r="B33" s="2" t="s">
        <v>45</v>
      </c>
      <c r="C33" s="2"/>
      <c r="D33" s="3">
        <f t="shared" si="0"/>
        <v>0.561392975082558</v>
      </c>
      <c r="E33" s="4">
        <f t="shared" si="1"/>
        <v>1.25</v>
      </c>
      <c r="F33" s="4"/>
      <c r="G33" s="2">
        <v>0.03331</v>
      </c>
      <c r="H33" s="2"/>
      <c r="I33" s="2">
        <v>0.01096</v>
      </c>
      <c r="J33" s="2"/>
      <c r="K33" s="2">
        <v>0.0187</v>
      </c>
      <c r="L33" s="2"/>
      <c r="M33" s="2" t="s">
        <v>39</v>
      </c>
      <c r="N33" s="2"/>
      <c r="O33" s="2">
        <v>0.0137</v>
      </c>
      <c r="P33" s="2"/>
      <c r="Q33" s="2" t="s">
        <v>12</v>
      </c>
      <c r="R33" s="2"/>
      <c r="S33" s="2" t="s">
        <v>46</v>
      </c>
      <c r="T33" s="2"/>
      <c r="U33" s="2"/>
      <c r="V33" s="2"/>
    </row>
    <row r="34" spans="1:22">
      <c r="A34" t="s">
        <v>47</v>
      </c>
      <c r="B34" s="2" t="s">
        <v>48</v>
      </c>
      <c r="C34" s="2"/>
      <c r="D34" s="3">
        <f t="shared" si="0"/>
        <v>0.60032102728732</v>
      </c>
      <c r="E34" s="4">
        <f t="shared" si="1"/>
        <v>1.2431941923775</v>
      </c>
      <c r="F34" s="4"/>
      <c r="G34" s="2">
        <v>0.03115</v>
      </c>
      <c r="H34" s="2"/>
      <c r="I34" s="2">
        <v>0.01102</v>
      </c>
      <c r="J34" s="2"/>
      <c r="K34" s="2">
        <v>0.0187</v>
      </c>
      <c r="L34" s="2"/>
      <c r="M34" s="2" t="s">
        <v>39</v>
      </c>
      <c r="N34" s="2"/>
      <c r="O34" s="2">
        <v>0.0137</v>
      </c>
      <c r="P34" s="2"/>
      <c r="Q34" s="2" t="s">
        <v>12</v>
      </c>
      <c r="R34" s="2"/>
      <c r="S34" s="2"/>
      <c r="T34" s="2"/>
      <c r="U34" s="2"/>
      <c r="V34" s="2"/>
    </row>
    <row r="35" spans="1:22">
      <c r="A35" t="s">
        <v>49</v>
      </c>
      <c r="B35" s="2" t="s">
        <v>50</v>
      </c>
      <c r="C35" s="2"/>
      <c r="D35" s="3">
        <f t="shared" si="0"/>
        <v>0.591772151898734</v>
      </c>
      <c r="E35" s="4">
        <f t="shared" si="1"/>
        <v>1.15126050420168</v>
      </c>
      <c r="F35" s="4"/>
      <c r="G35" s="5">
        <v>0.0316</v>
      </c>
      <c r="H35" s="2"/>
      <c r="I35" s="5">
        <v>0.0119</v>
      </c>
      <c r="J35" s="2"/>
      <c r="K35" s="2">
        <v>0.0187</v>
      </c>
      <c r="L35" s="2"/>
      <c r="M35" s="2" t="s">
        <v>39</v>
      </c>
      <c r="N35" s="2"/>
      <c r="O35" s="2">
        <v>0.0137</v>
      </c>
      <c r="P35" s="2"/>
      <c r="Q35" s="2" t="s">
        <v>12</v>
      </c>
      <c r="R35" s="2"/>
      <c r="S35" s="2"/>
      <c r="T35" s="2"/>
      <c r="U35" s="2"/>
      <c r="V35" s="2"/>
    </row>
    <row r="36" spans="1:22">
      <c r="A36" t="s">
        <v>51</v>
      </c>
      <c r="B36" s="2" t="s">
        <v>52</v>
      </c>
      <c r="C36" s="2"/>
      <c r="D36" s="3">
        <f t="shared" si="0"/>
        <v>0.594783715012723</v>
      </c>
      <c r="E36" s="4">
        <f t="shared" si="1"/>
        <v>1.26734505087882</v>
      </c>
      <c r="F36" s="4"/>
      <c r="G36" s="2">
        <v>0.03144</v>
      </c>
      <c r="H36" s="2"/>
      <c r="I36" s="2">
        <v>0.01081</v>
      </c>
      <c r="J36" s="2"/>
      <c r="K36" s="2">
        <v>0.0187</v>
      </c>
      <c r="L36" s="2"/>
      <c r="M36" s="2" t="s">
        <v>39</v>
      </c>
      <c r="N36" s="2"/>
      <c r="O36" s="2">
        <v>0.0137</v>
      </c>
      <c r="P36" s="2"/>
      <c r="Q36" s="2" t="s">
        <v>12</v>
      </c>
      <c r="R36" s="2"/>
      <c r="S36" s="2"/>
      <c r="T36" s="2"/>
      <c r="U36" s="2"/>
      <c r="V36" s="2"/>
    </row>
    <row r="37" spans="1:22">
      <c r="A37" t="s">
        <v>53</v>
      </c>
      <c r="B37" s="2" t="s">
        <v>54</v>
      </c>
      <c r="C37" s="2"/>
      <c r="D37" s="3">
        <f t="shared" si="0"/>
        <v>0.589905362776025</v>
      </c>
      <c r="E37" s="4">
        <f t="shared" si="1"/>
        <v>1.21131741821397</v>
      </c>
      <c r="F37" s="4"/>
      <c r="G37" s="5">
        <v>0.0317</v>
      </c>
      <c r="H37" s="2"/>
      <c r="I37" s="2">
        <v>0.01131</v>
      </c>
      <c r="J37" s="2"/>
      <c r="K37" s="2">
        <v>0.0187</v>
      </c>
      <c r="L37" s="2"/>
      <c r="M37" s="2" t="s">
        <v>39</v>
      </c>
      <c r="N37" s="2"/>
      <c r="O37" s="2">
        <v>0.0137</v>
      </c>
      <c r="P37" s="2"/>
      <c r="Q37" s="2" t="s">
        <v>12</v>
      </c>
      <c r="R37" s="2"/>
      <c r="S37" s="2"/>
      <c r="T37" s="2"/>
      <c r="U37" s="2"/>
      <c r="V37" s="2"/>
    </row>
    <row r="38" spans="1:22">
      <c r="B38" s="2"/>
      <c r="C38" s="2"/>
      <c r="D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>
      <c r="B39" s="2"/>
      <c r="C39" s="2"/>
      <c r="D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>
      <c r="B40" s="2"/>
      <c r="C40" s="2"/>
      <c r="D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B41" s="2"/>
      <c r="C41" s="2"/>
      <c r="D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>
      <c r="B42" s="2"/>
      <c r="C42" s="2"/>
      <c r="D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>
      <c r="B43" s="2"/>
      <c r="C43" s="2"/>
      <c r="D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>
      <c r="B44" s="2"/>
      <c r="C44" s="2"/>
      <c r="D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>
      <c r="B45" s="2"/>
      <c r="C45" s="2"/>
      <c r="D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B46" s="2"/>
      <c r="C46" s="2"/>
      <c r="D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>
      <c r="B47" s="2"/>
      <c r="C47" s="2"/>
      <c r="D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>
      <c r="B48" s="2"/>
      <c r="C48" s="2"/>
      <c r="D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2:22">
      <c r="B49" s="2"/>
      <c r="C49" s="2"/>
      <c r="D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2:22">
      <c r="B50" s="2"/>
      <c r="C50" s="2"/>
      <c r="D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2:22">
      <c r="B51" s="2"/>
      <c r="C51" s="2"/>
      <c r="D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2:22">
      <c r="B52" s="2"/>
      <c r="C52" s="2"/>
      <c r="D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2:22">
      <c r="B53" s="2"/>
      <c r="C53" s="2"/>
      <c r="D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2:22">
      <c r="B54" s="2"/>
      <c r="C54" s="2"/>
      <c r="D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2:22">
      <c r="B55" s="2"/>
      <c r="C55" s="2"/>
      <c r="D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2:22">
      <c r="B56" s="2"/>
      <c r="C56" s="2"/>
      <c r="D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2:22">
      <c r="B57" s="2"/>
      <c r="C57" s="2"/>
      <c r="D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2:22">
      <c r="B58" s="2"/>
      <c r="C58" s="2"/>
      <c r="D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2:22">
      <c r="B59" s="2"/>
      <c r="C59" s="2"/>
      <c r="D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2:22">
      <c r="B60" s="2"/>
      <c r="C60" s="2"/>
      <c r="D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2:22">
      <c r="B61" s="2"/>
      <c r="C61" s="2"/>
      <c r="D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2:22">
      <c r="B62" s="2"/>
      <c r="C62" s="2"/>
      <c r="D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2:22">
      <c r="B63" s="2"/>
      <c r="C63" s="2"/>
      <c r="D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2:22">
      <c r="B64" s="2"/>
      <c r="C64" s="2"/>
      <c r="D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2:22">
      <c r="B65" s="2"/>
      <c r="C65" s="2"/>
      <c r="D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2:22">
      <c r="B66" s="2"/>
      <c r="C66" s="2"/>
      <c r="D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2:22">
      <c r="B67" s="2"/>
      <c r="C67" s="2"/>
      <c r="D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2:22">
      <c r="B68" s="2"/>
      <c r="C68" s="2"/>
      <c r="D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2:22">
      <c r="B69" s="2"/>
      <c r="C69" s="2"/>
      <c r="D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2:22">
      <c r="B70" s="2"/>
      <c r="C70" s="2"/>
      <c r="D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2:22">
      <c r="B71" s="2"/>
      <c r="C71" s="2"/>
      <c r="D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2:22">
      <c r="B72" s="2"/>
      <c r="C72" s="2"/>
      <c r="D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2:22">
      <c r="B73" s="2"/>
      <c r="C73" s="2"/>
      <c r="D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2:22">
      <c r="B74" s="2"/>
      <c r="C74" s="2"/>
      <c r="D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2:22">
      <c r="B75" s="2"/>
      <c r="C75" s="2"/>
      <c r="D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2:22">
      <c r="B76" s="2"/>
      <c r="C76" s="2"/>
      <c r="D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2:22">
      <c r="B77" s="2"/>
      <c r="C77" s="2"/>
      <c r="D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2:22">
      <c r="B78" s="2"/>
      <c r="C78" s="2"/>
      <c r="D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2:22">
      <c r="B79" s="2"/>
      <c r="C79" s="2"/>
      <c r="D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2:22">
      <c r="B80" s="2"/>
      <c r="C80" s="2"/>
      <c r="D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2:22">
      <c r="B81" s="2"/>
      <c r="C81" s="2"/>
      <c r="D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</sheetData>
  <mergeCells count="640">
    <mergeCell ref="B1:C1"/>
    <mergeCell ref="G1:H1"/>
    <mergeCell ref="I1:J1"/>
    <mergeCell ref="K1:L1"/>
    <mergeCell ref="M1:N1"/>
    <mergeCell ref="O1:P1"/>
    <mergeCell ref="Q1:R1"/>
    <mergeCell ref="S1:V1"/>
    <mergeCell ref="B2:C2"/>
    <mergeCell ref="G2:H2"/>
    <mergeCell ref="I2:J2"/>
    <mergeCell ref="K2:L2"/>
    <mergeCell ref="M2:N2"/>
    <mergeCell ref="O2:P2"/>
    <mergeCell ref="Q2:R2"/>
    <mergeCell ref="S2:V2"/>
    <mergeCell ref="B3:C3"/>
    <mergeCell ref="G3:H3"/>
    <mergeCell ref="I3:J3"/>
    <mergeCell ref="K3:L3"/>
    <mergeCell ref="M3:N3"/>
    <mergeCell ref="O3:P3"/>
    <mergeCell ref="Q3:R3"/>
    <mergeCell ref="S3:V3"/>
    <mergeCell ref="B4:C4"/>
    <mergeCell ref="G4:H4"/>
    <mergeCell ref="I4:J4"/>
    <mergeCell ref="K4:L4"/>
    <mergeCell ref="M4:N4"/>
    <mergeCell ref="O4:P4"/>
    <mergeCell ref="Q4:R4"/>
    <mergeCell ref="S4:V4"/>
    <mergeCell ref="B5:C5"/>
    <mergeCell ref="G5:H5"/>
    <mergeCell ref="I5:J5"/>
    <mergeCell ref="K5:L5"/>
    <mergeCell ref="M5:N5"/>
    <mergeCell ref="O5:P5"/>
    <mergeCell ref="Q5:R5"/>
    <mergeCell ref="S5:V5"/>
    <mergeCell ref="B6:C6"/>
    <mergeCell ref="G6:H6"/>
    <mergeCell ref="I6:J6"/>
    <mergeCell ref="K6:L6"/>
    <mergeCell ref="M6:N6"/>
    <mergeCell ref="O6:P6"/>
    <mergeCell ref="Q6:R6"/>
    <mergeCell ref="S6:V6"/>
    <mergeCell ref="B7:C7"/>
    <mergeCell ref="G7:H7"/>
    <mergeCell ref="I7:J7"/>
    <mergeCell ref="K7:L7"/>
    <mergeCell ref="M7:N7"/>
    <mergeCell ref="O7:P7"/>
    <mergeCell ref="Q7:R7"/>
    <mergeCell ref="S7:V7"/>
    <mergeCell ref="B8:C8"/>
    <mergeCell ref="G8:H8"/>
    <mergeCell ref="I8:J8"/>
    <mergeCell ref="K8:L8"/>
    <mergeCell ref="M8:N8"/>
    <mergeCell ref="O8:P8"/>
    <mergeCell ref="Q8:R8"/>
    <mergeCell ref="S8:V8"/>
    <mergeCell ref="B9:C9"/>
    <mergeCell ref="G9:H9"/>
    <mergeCell ref="I9:J9"/>
    <mergeCell ref="K9:L9"/>
    <mergeCell ref="M9:N9"/>
    <mergeCell ref="O9:P9"/>
    <mergeCell ref="Q9:R9"/>
    <mergeCell ref="S9:V9"/>
    <mergeCell ref="B10:C10"/>
    <mergeCell ref="G10:H10"/>
    <mergeCell ref="I10:J10"/>
    <mergeCell ref="K10:L10"/>
    <mergeCell ref="M10:N10"/>
    <mergeCell ref="O10:P10"/>
    <mergeCell ref="Q10:R10"/>
    <mergeCell ref="S10:V10"/>
    <mergeCell ref="B11:C11"/>
    <mergeCell ref="G11:H11"/>
    <mergeCell ref="I11:J11"/>
    <mergeCell ref="K11:L11"/>
    <mergeCell ref="M11:N11"/>
    <mergeCell ref="O11:P11"/>
    <mergeCell ref="Q11:R11"/>
    <mergeCell ref="S11:V11"/>
    <mergeCell ref="B12:C12"/>
    <mergeCell ref="G12:H12"/>
    <mergeCell ref="I12:J12"/>
    <mergeCell ref="K12:L12"/>
    <mergeCell ref="M12:N12"/>
    <mergeCell ref="O12:P12"/>
    <mergeCell ref="Q12:R12"/>
    <mergeCell ref="S12:V12"/>
    <mergeCell ref="B13:C13"/>
    <mergeCell ref="G13:H13"/>
    <mergeCell ref="I13:J13"/>
    <mergeCell ref="K13:L13"/>
    <mergeCell ref="M13:N13"/>
    <mergeCell ref="O13:P13"/>
    <mergeCell ref="Q13:R13"/>
    <mergeCell ref="S13:V13"/>
    <mergeCell ref="B14:C14"/>
    <mergeCell ref="G14:H14"/>
    <mergeCell ref="I14:J14"/>
    <mergeCell ref="K14:L14"/>
    <mergeCell ref="M14:N14"/>
    <mergeCell ref="O14:P14"/>
    <mergeCell ref="Q14:R14"/>
    <mergeCell ref="S14:V14"/>
    <mergeCell ref="B15:C15"/>
    <mergeCell ref="G15:H15"/>
    <mergeCell ref="I15:J15"/>
    <mergeCell ref="K15:L15"/>
    <mergeCell ref="M15:N15"/>
    <mergeCell ref="O15:P15"/>
    <mergeCell ref="Q15:R15"/>
    <mergeCell ref="S15:V15"/>
    <mergeCell ref="B16:C16"/>
    <mergeCell ref="G16:H16"/>
    <mergeCell ref="I16:J16"/>
    <mergeCell ref="K16:L16"/>
    <mergeCell ref="M16:N16"/>
    <mergeCell ref="O16:P16"/>
    <mergeCell ref="Q16:R16"/>
    <mergeCell ref="S16:V16"/>
    <mergeCell ref="B17:C17"/>
    <mergeCell ref="G17:H17"/>
    <mergeCell ref="I17:J17"/>
    <mergeCell ref="K17:L17"/>
    <mergeCell ref="M17:N17"/>
    <mergeCell ref="O17:P17"/>
    <mergeCell ref="Q17:R17"/>
    <mergeCell ref="S17:V17"/>
    <mergeCell ref="B18:C18"/>
    <mergeCell ref="G18:H18"/>
    <mergeCell ref="I18:J18"/>
    <mergeCell ref="K18:L18"/>
    <mergeCell ref="M18:N18"/>
    <mergeCell ref="O18:P18"/>
    <mergeCell ref="Q18:R18"/>
    <mergeCell ref="S18:V18"/>
    <mergeCell ref="B19:C19"/>
    <mergeCell ref="G19:H19"/>
    <mergeCell ref="I19:J19"/>
    <mergeCell ref="K19:L19"/>
    <mergeCell ref="M19:N19"/>
    <mergeCell ref="O19:P19"/>
    <mergeCell ref="Q19:R19"/>
    <mergeCell ref="S19:V19"/>
    <mergeCell ref="B20:C20"/>
    <mergeCell ref="G20:H20"/>
    <mergeCell ref="I20:J20"/>
    <mergeCell ref="K20:L20"/>
    <mergeCell ref="M20:N20"/>
    <mergeCell ref="O20:P20"/>
    <mergeCell ref="Q20:R20"/>
    <mergeCell ref="S20:V20"/>
    <mergeCell ref="B21:C21"/>
    <mergeCell ref="G21:H21"/>
    <mergeCell ref="I21:J21"/>
    <mergeCell ref="K21:L21"/>
    <mergeCell ref="M21:N21"/>
    <mergeCell ref="O21:P21"/>
    <mergeCell ref="Q21:R21"/>
    <mergeCell ref="S21:V21"/>
    <mergeCell ref="B22:C22"/>
    <mergeCell ref="G22:H22"/>
    <mergeCell ref="I22:J22"/>
    <mergeCell ref="K22:L22"/>
    <mergeCell ref="M22:N22"/>
    <mergeCell ref="O22:P22"/>
    <mergeCell ref="Q22:R22"/>
    <mergeCell ref="S22:V22"/>
    <mergeCell ref="B23:C23"/>
    <mergeCell ref="G23:H23"/>
    <mergeCell ref="I23:J23"/>
    <mergeCell ref="K23:L23"/>
    <mergeCell ref="M23:N23"/>
    <mergeCell ref="O23:P23"/>
    <mergeCell ref="Q23:R23"/>
    <mergeCell ref="S23:V23"/>
    <mergeCell ref="B24:C24"/>
    <mergeCell ref="G24:H24"/>
    <mergeCell ref="I24:J24"/>
    <mergeCell ref="K24:L24"/>
    <mergeCell ref="M24:N24"/>
    <mergeCell ref="O24:P24"/>
    <mergeCell ref="Q24:R24"/>
    <mergeCell ref="S24:V24"/>
    <mergeCell ref="B25:C25"/>
    <mergeCell ref="G25:H25"/>
    <mergeCell ref="I25:J25"/>
    <mergeCell ref="K25:L25"/>
    <mergeCell ref="M25:N25"/>
    <mergeCell ref="O25:P25"/>
    <mergeCell ref="Q25:R25"/>
    <mergeCell ref="S25:V25"/>
    <mergeCell ref="B26:C26"/>
    <mergeCell ref="G26:H26"/>
    <mergeCell ref="I26:J26"/>
    <mergeCell ref="K26:L26"/>
    <mergeCell ref="M26:N26"/>
    <mergeCell ref="O26:P26"/>
    <mergeCell ref="Q26:R26"/>
    <mergeCell ref="S26:V26"/>
    <mergeCell ref="B28:C28"/>
    <mergeCell ref="G28:H28"/>
    <mergeCell ref="I28:J28"/>
    <mergeCell ref="K28:L28"/>
    <mergeCell ref="M28:N28"/>
    <mergeCell ref="O28:P28"/>
    <mergeCell ref="Q28:R28"/>
    <mergeCell ref="S28:V28"/>
    <mergeCell ref="B29:C29"/>
    <mergeCell ref="G29:H29"/>
    <mergeCell ref="I29:J29"/>
    <mergeCell ref="K29:L29"/>
    <mergeCell ref="M29:N29"/>
    <mergeCell ref="O29:P29"/>
    <mergeCell ref="Q29:R29"/>
    <mergeCell ref="S29:V29"/>
    <mergeCell ref="B30:C30"/>
    <mergeCell ref="G30:H30"/>
    <mergeCell ref="I30:J30"/>
    <mergeCell ref="K30:L30"/>
    <mergeCell ref="M30:N30"/>
    <mergeCell ref="O30:P30"/>
    <mergeCell ref="Q30:R30"/>
    <mergeCell ref="S30:V30"/>
    <mergeCell ref="B31:C31"/>
    <mergeCell ref="G31:H31"/>
    <mergeCell ref="I31:J31"/>
    <mergeCell ref="K31:L31"/>
    <mergeCell ref="M31:N31"/>
    <mergeCell ref="O31:P31"/>
    <mergeCell ref="Q31:R31"/>
    <mergeCell ref="S31:V31"/>
    <mergeCell ref="B32:C32"/>
    <mergeCell ref="G32:H32"/>
    <mergeCell ref="I32:J32"/>
    <mergeCell ref="K32:L32"/>
    <mergeCell ref="M32:N32"/>
    <mergeCell ref="O32:P32"/>
    <mergeCell ref="Q32:R32"/>
    <mergeCell ref="S32:V32"/>
    <mergeCell ref="B33:C33"/>
    <mergeCell ref="G33:H33"/>
    <mergeCell ref="I33:J33"/>
    <mergeCell ref="K33:L33"/>
    <mergeCell ref="M33:N33"/>
    <mergeCell ref="O33:P33"/>
    <mergeCell ref="Q33:R33"/>
    <mergeCell ref="S33:V33"/>
    <mergeCell ref="B34:C34"/>
    <mergeCell ref="G34:H34"/>
    <mergeCell ref="I34:J34"/>
    <mergeCell ref="K34:L34"/>
    <mergeCell ref="M34:N34"/>
    <mergeCell ref="O34:P34"/>
    <mergeCell ref="Q34:R34"/>
    <mergeCell ref="S34:V34"/>
    <mergeCell ref="B35:C35"/>
    <mergeCell ref="G35:H35"/>
    <mergeCell ref="I35:J35"/>
    <mergeCell ref="K35:L35"/>
    <mergeCell ref="M35:N35"/>
    <mergeCell ref="O35:P35"/>
    <mergeCell ref="Q35:R35"/>
    <mergeCell ref="S35:V35"/>
    <mergeCell ref="B36:C36"/>
    <mergeCell ref="G36:H36"/>
    <mergeCell ref="I36:J36"/>
    <mergeCell ref="K36:L36"/>
    <mergeCell ref="M36:N36"/>
    <mergeCell ref="O36:P36"/>
    <mergeCell ref="Q36:R36"/>
    <mergeCell ref="S36:V36"/>
    <mergeCell ref="B37:C37"/>
    <mergeCell ref="G37:H37"/>
    <mergeCell ref="I37:J37"/>
    <mergeCell ref="K37:L37"/>
    <mergeCell ref="M37:N37"/>
    <mergeCell ref="O37:P37"/>
    <mergeCell ref="Q37:R37"/>
    <mergeCell ref="S37:V37"/>
    <mergeCell ref="B38:C38"/>
    <mergeCell ref="G38:H38"/>
    <mergeCell ref="I38:J38"/>
    <mergeCell ref="K38:L38"/>
    <mergeCell ref="M38:N38"/>
    <mergeCell ref="O38:P38"/>
    <mergeCell ref="Q38:R38"/>
    <mergeCell ref="S38:V38"/>
    <mergeCell ref="B39:C39"/>
    <mergeCell ref="G39:H39"/>
    <mergeCell ref="I39:J39"/>
    <mergeCell ref="K39:L39"/>
    <mergeCell ref="M39:N39"/>
    <mergeCell ref="O39:P39"/>
    <mergeCell ref="Q39:R39"/>
    <mergeCell ref="S39:V39"/>
    <mergeCell ref="B40:C40"/>
    <mergeCell ref="G40:H40"/>
    <mergeCell ref="I40:J40"/>
    <mergeCell ref="K40:L40"/>
    <mergeCell ref="M40:N40"/>
    <mergeCell ref="O40:P40"/>
    <mergeCell ref="Q40:R40"/>
    <mergeCell ref="S40:V40"/>
    <mergeCell ref="B41:C41"/>
    <mergeCell ref="G41:H41"/>
    <mergeCell ref="I41:J41"/>
    <mergeCell ref="K41:L41"/>
    <mergeCell ref="M41:N41"/>
    <mergeCell ref="O41:P41"/>
    <mergeCell ref="Q41:R41"/>
    <mergeCell ref="S41:V41"/>
    <mergeCell ref="B42:C42"/>
    <mergeCell ref="G42:H42"/>
    <mergeCell ref="I42:J42"/>
    <mergeCell ref="K42:L42"/>
    <mergeCell ref="M42:N42"/>
    <mergeCell ref="O42:P42"/>
    <mergeCell ref="Q42:R42"/>
    <mergeCell ref="S42:V42"/>
    <mergeCell ref="B43:C43"/>
    <mergeCell ref="G43:H43"/>
    <mergeCell ref="I43:J43"/>
    <mergeCell ref="K43:L43"/>
    <mergeCell ref="M43:N43"/>
    <mergeCell ref="O43:P43"/>
    <mergeCell ref="Q43:R43"/>
    <mergeCell ref="S43:V43"/>
    <mergeCell ref="B44:C44"/>
    <mergeCell ref="G44:H44"/>
    <mergeCell ref="I44:J44"/>
    <mergeCell ref="K44:L44"/>
    <mergeCell ref="M44:N44"/>
    <mergeCell ref="O44:P44"/>
    <mergeCell ref="Q44:R44"/>
    <mergeCell ref="S44:V44"/>
    <mergeCell ref="B45:C45"/>
    <mergeCell ref="G45:H45"/>
    <mergeCell ref="I45:J45"/>
    <mergeCell ref="K45:L45"/>
    <mergeCell ref="M45:N45"/>
    <mergeCell ref="O45:P45"/>
    <mergeCell ref="Q45:R45"/>
    <mergeCell ref="S45:V45"/>
    <mergeCell ref="B46:C46"/>
    <mergeCell ref="G46:H46"/>
    <mergeCell ref="I46:J46"/>
    <mergeCell ref="K46:L46"/>
    <mergeCell ref="M46:N46"/>
    <mergeCell ref="O46:P46"/>
    <mergeCell ref="Q46:R46"/>
    <mergeCell ref="S46:V46"/>
    <mergeCell ref="B47:C47"/>
    <mergeCell ref="G47:H47"/>
    <mergeCell ref="I47:J47"/>
    <mergeCell ref="K47:L47"/>
    <mergeCell ref="M47:N47"/>
    <mergeCell ref="O47:P47"/>
    <mergeCell ref="Q47:R47"/>
    <mergeCell ref="S47:V47"/>
    <mergeCell ref="B48:C48"/>
    <mergeCell ref="G48:H48"/>
    <mergeCell ref="I48:J48"/>
    <mergeCell ref="K48:L48"/>
    <mergeCell ref="M48:N48"/>
    <mergeCell ref="O48:P48"/>
    <mergeCell ref="Q48:R48"/>
    <mergeCell ref="S48:V48"/>
    <mergeCell ref="B49:C49"/>
    <mergeCell ref="G49:H49"/>
    <mergeCell ref="I49:J49"/>
    <mergeCell ref="K49:L49"/>
    <mergeCell ref="M49:N49"/>
    <mergeCell ref="O49:P49"/>
    <mergeCell ref="Q49:R49"/>
    <mergeCell ref="S49:V49"/>
    <mergeCell ref="B50:C50"/>
    <mergeCell ref="G50:H50"/>
    <mergeCell ref="I50:J50"/>
    <mergeCell ref="K50:L50"/>
    <mergeCell ref="M50:N50"/>
    <mergeCell ref="O50:P50"/>
    <mergeCell ref="Q50:R50"/>
    <mergeCell ref="S50:V50"/>
    <mergeCell ref="B51:C51"/>
    <mergeCell ref="G51:H51"/>
    <mergeCell ref="I51:J51"/>
    <mergeCell ref="K51:L51"/>
    <mergeCell ref="M51:N51"/>
    <mergeCell ref="O51:P51"/>
    <mergeCell ref="Q51:R51"/>
    <mergeCell ref="S51:V51"/>
    <mergeCell ref="B52:C52"/>
    <mergeCell ref="G52:H52"/>
    <mergeCell ref="I52:J52"/>
    <mergeCell ref="K52:L52"/>
    <mergeCell ref="M52:N52"/>
    <mergeCell ref="O52:P52"/>
    <mergeCell ref="Q52:R52"/>
    <mergeCell ref="S52:V52"/>
    <mergeCell ref="B53:C53"/>
    <mergeCell ref="G53:H53"/>
    <mergeCell ref="I53:J53"/>
    <mergeCell ref="K53:L53"/>
    <mergeCell ref="M53:N53"/>
    <mergeCell ref="O53:P53"/>
    <mergeCell ref="Q53:R53"/>
    <mergeCell ref="S53:V53"/>
    <mergeCell ref="B54:C54"/>
    <mergeCell ref="G54:H54"/>
    <mergeCell ref="I54:J54"/>
    <mergeCell ref="K54:L54"/>
    <mergeCell ref="M54:N54"/>
    <mergeCell ref="O54:P54"/>
    <mergeCell ref="Q54:R54"/>
    <mergeCell ref="S54:V54"/>
    <mergeCell ref="B55:C55"/>
    <mergeCell ref="G55:H55"/>
    <mergeCell ref="I55:J55"/>
    <mergeCell ref="K55:L55"/>
    <mergeCell ref="M55:N55"/>
    <mergeCell ref="O55:P55"/>
    <mergeCell ref="Q55:R55"/>
    <mergeCell ref="S55:V55"/>
    <mergeCell ref="B56:C56"/>
    <mergeCell ref="G56:H56"/>
    <mergeCell ref="I56:J56"/>
    <mergeCell ref="K56:L56"/>
    <mergeCell ref="M56:N56"/>
    <mergeCell ref="O56:P56"/>
    <mergeCell ref="Q56:R56"/>
    <mergeCell ref="S56:V56"/>
    <mergeCell ref="B57:C57"/>
    <mergeCell ref="G57:H57"/>
    <mergeCell ref="I57:J57"/>
    <mergeCell ref="K57:L57"/>
    <mergeCell ref="M57:N57"/>
    <mergeCell ref="O57:P57"/>
    <mergeCell ref="Q57:R57"/>
    <mergeCell ref="S57:V57"/>
    <mergeCell ref="B58:C58"/>
    <mergeCell ref="G58:H58"/>
    <mergeCell ref="I58:J58"/>
    <mergeCell ref="K58:L58"/>
    <mergeCell ref="M58:N58"/>
    <mergeCell ref="O58:P58"/>
    <mergeCell ref="Q58:R58"/>
    <mergeCell ref="S58:V58"/>
    <mergeCell ref="B59:C59"/>
    <mergeCell ref="G59:H59"/>
    <mergeCell ref="I59:J59"/>
    <mergeCell ref="K59:L59"/>
    <mergeCell ref="M59:N59"/>
    <mergeCell ref="O59:P59"/>
    <mergeCell ref="Q59:R59"/>
    <mergeCell ref="S59:V59"/>
    <mergeCell ref="B60:C60"/>
    <mergeCell ref="G60:H60"/>
    <mergeCell ref="I60:J60"/>
    <mergeCell ref="K60:L60"/>
    <mergeCell ref="M60:N60"/>
    <mergeCell ref="O60:P60"/>
    <mergeCell ref="Q60:R60"/>
    <mergeCell ref="S60:V60"/>
    <mergeCell ref="B61:C61"/>
    <mergeCell ref="G61:H61"/>
    <mergeCell ref="I61:J61"/>
    <mergeCell ref="K61:L61"/>
    <mergeCell ref="M61:N61"/>
    <mergeCell ref="O61:P61"/>
    <mergeCell ref="Q61:R61"/>
    <mergeCell ref="S61:V61"/>
    <mergeCell ref="B62:C62"/>
    <mergeCell ref="G62:H62"/>
    <mergeCell ref="I62:J62"/>
    <mergeCell ref="K62:L62"/>
    <mergeCell ref="M62:N62"/>
    <mergeCell ref="O62:P62"/>
    <mergeCell ref="Q62:R62"/>
    <mergeCell ref="S62:V62"/>
    <mergeCell ref="B63:C63"/>
    <mergeCell ref="G63:H63"/>
    <mergeCell ref="I63:J63"/>
    <mergeCell ref="K63:L63"/>
    <mergeCell ref="M63:N63"/>
    <mergeCell ref="O63:P63"/>
    <mergeCell ref="Q63:R63"/>
    <mergeCell ref="S63:V63"/>
    <mergeCell ref="B64:C64"/>
    <mergeCell ref="G64:H64"/>
    <mergeCell ref="I64:J64"/>
    <mergeCell ref="K64:L64"/>
    <mergeCell ref="M64:N64"/>
    <mergeCell ref="O64:P64"/>
    <mergeCell ref="Q64:R64"/>
    <mergeCell ref="S64:V64"/>
    <mergeCell ref="B65:C65"/>
    <mergeCell ref="G65:H65"/>
    <mergeCell ref="I65:J65"/>
    <mergeCell ref="K65:L65"/>
    <mergeCell ref="M65:N65"/>
    <mergeCell ref="O65:P65"/>
    <mergeCell ref="Q65:R65"/>
    <mergeCell ref="S65:V65"/>
    <mergeCell ref="B66:C66"/>
    <mergeCell ref="G66:H66"/>
    <mergeCell ref="I66:J66"/>
    <mergeCell ref="K66:L66"/>
    <mergeCell ref="M66:N66"/>
    <mergeCell ref="O66:P66"/>
    <mergeCell ref="Q66:R66"/>
    <mergeCell ref="S66:V66"/>
    <mergeCell ref="B67:C67"/>
    <mergeCell ref="G67:H67"/>
    <mergeCell ref="I67:J67"/>
    <mergeCell ref="K67:L67"/>
    <mergeCell ref="M67:N67"/>
    <mergeCell ref="O67:P67"/>
    <mergeCell ref="Q67:R67"/>
    <mergeCell ref="S67:V67"/>
    <mergeCell ref="B68:C68"/>
    <mergeCell ref="G68:H68"/>
    <mergeCell ref="I68:J68"/>
    <mergeCell ref="K68:L68"/>
    <mergeCell ref="M68:N68"/>
    <mergeCell ref="O68:P68"/>
    <mergeCell ref="Q68:R68"/>
    <mergeCell ref="S68:V68"/>
    <mergeCell ref="B69:C69"/>
    <mergeCell ref="G69:H69"/>
    <mergeCell ref="I69:J69"/>
    <mergeCell ref="K69:L69"/>
    <mergeCell ref="M69:N69"/>
    <mergeCell ref="O69:P69"/>
    <mergeCell ref="Q69:R69"/>
    <mergeCell ref="S69:V69"/>
    <mergeCell ref="B70:C70"/>
    <mergeCell ref="G70:H70"/>
    <mergeCell ref="I70:J70"/>
    <mergeCell ref="K70:L70"/>
    <mergeCell ref="M70:N70"/>
    <mergeCell ref="O70:P70"/>
    <mergeCell ref="Q70:R70"/>
    <mergeCell ref="S70:V70"/>
    <mergeCell ref="B71:C71"/>
    <mergeCell ref="G71:H71"/>
    <mergeCell ref="I71:J71"/>
    <mergeCell ref="K71:L71"/>
    <mergeCell ref="M71:N71"/>
    <mergeCell ref="O71:P71"/>
    <mergeCell ref="Q71:R71"/>
    <mergeCell ref="S71:V71"/>
    <mergeCell ref="B72:C72"/>
    <mergeCell ref="G72:H72"/>
    <mergeCell ref="I72:J72"/>
    <mergeCell ref="K72:L72"/>
    <mergeCell ref="M72:N72"/>
    <mergeCell ref="O72:P72"/>
    <mergeCell ref="Q72:R72"/>
    <mergeCell ref="S72:V72"/>
    <mergeCell ref="B73:C73"/>
    <mergeCell ref="G73:H73"/>
    <mergeCell ref="I73:J73"/>
    <mergeCell ref="K73:L73"/>
    <mergeCell ref="M73:N73"/>
    <mergeCell ref="O73:P73"/>
    <mergeCell ref="Q73:R73"/>
    <mergeCell ref="S73:V73"/>
    <mergeCell ref="B74:C74"/>
    <mergeCell ref="G74:H74"/>
    <mergeCell ref="I74:J74"/>
    <mergeCell ref="K74:L74"/>
    <mergeCell ref="M74:N74"/>
    <mergeCell ref="O74:P74"/>
    <mergeCell ref="Q74:R74"/>
    <mergeCell ref="S74:V74"/>
    <mergeCell ref="B75:C75"/>
    <mergeCell ref="G75:H75"/>
    <mergeCell ref="I75:J75"/>
    <mergeCell ref="K75:L75"/>
    <mergeCell ref="M75:N75"/>
    <mergeCell ref="O75:P75"/>
    <mergeCell ref="Q75:R75"/>
    <mergeCell ref="S75:V75"/>
    <mergeCell ref="B76:C76"/>
    <mergeCell ref="G76:H76"/>
    <mergeCell ref="I76:J76"/>
    <mergeCell ref="K76:L76"/>
    <mergeCell ref="M76:N76"/>
    <mergeCell ref="O76:P76"/>
    <mergeCell ref="Q76:R76"/>
    <mergeCell ref="S76:V76"/>
    <mergeCell ref="B77:C77"/>
    <mergeCell ref="G77:H77"/>
    <mergeCell ref="I77:J77"/>
    <mergeCell ref="K77:L77"/>
    <mergeCell ref="M77:N77"/>
    <mergeCell ref="O77:P77"/>
    <mergeCell ref="Q77:R77"/>
    <mergeCell ref="S77:V77"/>
    <mergeCell ref="B78:C78"/>
    <mergeCell ref="G78:H78"/>
    <mergeCell ref="I78:J78"/>
    <mergeCell ref="K78:L78"/>
    <mergeCell ref="M78:N78"/>
    <mergeCell ref="O78:P78"/>
    <mergeCell ref="Q78:R78"/>
    <mergeCell ref="S78:V78"/>
    <mergeCell ref="B79:C79"/>
    <mergeCell ref="G79:H79"/>
    <mergeCell ref="I79:J79"/>
    <mergeCell ref="K79:L79"/>
    <mergeCell ref="M79:N79"/>
    <mergeCell ref="O79:P79"/>
    <mergeCell ref="Q79:R79"/>
    <mergeCell ref="S79:V79"/>
    <mergeCell ref="B80:C80"/>
    <mergeCell ref="G80:H80"/>
    <mergeCell ref="I80:J80"/>
    <mergeCell ref="K80:L80"/>
    <mergeCell ref="M80:N80"/>
    <mergeCell ref="O80:P80"/>
    <mergeCell ref="Q80:R80"/>
    <mergeCell ref="S80:V80"/>
    <mergeCell ref="B81:C81"/>
    <mergeCell ref="G81:H81"/>
    <mergeCell ref="I81:J81"/>
    <mergeCell ref="K81:L81"/>
    <mergeCell ref="M81:N81"/>
    <mergeCell ref="O81:P81"/>
    <mergeCell ref="Q81:R81"/>
    <mergeCell ref="S81:V8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27705</dc:creator>
  <cp:lastModifiedBy>10142</cp:lastModifiedBy>
  <dcterms:created xsi:type="dcterms:W3CDTF">2026-07-29T03:48:00Z</dcterms:created>
  <dcterms:modified xsi:type="dcterms:W3CDTF">2026-07-30T10:35:43Z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1F567B50827044CAB1FB37C29A150EC7_13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