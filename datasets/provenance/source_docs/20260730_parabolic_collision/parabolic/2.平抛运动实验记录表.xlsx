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080" activeTab="1"/>
  </bookViews>
  <sheets>
    <sheet name="实验设置" sheetId="1" r:id="rId1"/>
    <sheet name="Trial记录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<sst xmlns="http://schemas.openxmlformats.org/spreadsheetml/2006/main" count="125" uniqueCount="109">
  <si>
    <t>填写项目</t>
  </si>
  <si>
    <t>填写值</t>
  </si>
  <si>
    <t>采集日期</t>
  </si>
  <si>
    <t>手机型号</t>
  </si>
  <si>
    <t>iPhone 12</t>
  </si>
  <si>
    <t>录像模式</t>
  </si>
  <si>
    <t>1080p / 240 fps（慢动作）</t>
  </si>
  <si>
    <t>物体种类</t>
  </si>
  <si>
    <t>中型钢球</t>
  </si>
  <si>
    <t>物体直径_mm</t>
  </si>
  <si>
    <t>物体质量_g</t>
  </si>
  <si>
    <t>物体体积_cm3</t>
  </si>
  <si>
    <t>物体密度_g_cm3</t>
  </si>
  <si>
    <t>光电门型号或编号</t>
  </si>
  <si>
    <t>光电门位置</t>
  </si>
  <si>
    <r>
      <rPr>
        <sz val="10"/>
        <color rgb="FF263238"/>
        <rFont val="宋体"/>
        <charset val="134"/>
      </rPr>
      <t>轨道出口前</t>
    </r>
    <r>
      <rPr>
        <sz val="10"/>
        <color rgb="FF263238"/>
        <rFont val="Carlito"/>
        <charset val="134"/>
      </rPr>
      <t>1.2cm</t>
    </r>
  </si>
  <si>
    <t>抛出点距地面高度_cm</t>
  </si>
  <si>
    <t>整体备注</t>
  </si>
  <si>
    <t>Trial编号</t>
  </si>
  <si>
    <t>视频文件名</t>
  </si>
  <si>
    <t>光电门block_time_ms</t>
  </si>
  <si>
    <t>瞬时速度_m_s</t>
  </si>
  <si>
    <t>是否更换背景</t>
  </si>
  <si>
    <t>背景说明（可空）</t>
  </si>
  <si>
    <t>备注（可空）</t>
  </si>
  <si>
    <t>T001</t>
  </si>
  <si>
    <t>IMG_522</t>
  </si>
  <si>
    <t>32°20cm</t>
  </si>
  <si>
    <t>T002</t>
  </si>
  <si>
    <t>IMG_523</t>
  </si>
  <si>
    <t>T003</t>
  </si>
  <si>
    <t>IMG_524</t>
  </si>
  <si>
    <t>T004</t>
  </si>
  <si>
    <t>IMG_525</t>
  </si>
  <si>
    <t>T005</t>
  </si>
  <si>
    <t>IMG_526</t>
  </si>
  <si>
    <t>T006</t>
  </si>
  <si>
    <t>IMG_527</t>
  </si>
  <si>
    <t>32°30cm</t>
  </si>
  <si>
    <t>T007</t>
  </si>
  <si>
    <t>IMG_528</t>
  </si>
  <si>
    <t>T008</t>
  </si>
  <si>
    <t>IMG_529</t>
  </si>
  <si>
    <t>T009</t>
  </si>
  <si>
    <t>IMG_530</t>
  </si>
  <si>
    <t>T010</t>
  </si>
  <si>
    <t>IMG_531</t>
  </si>
  <si>
    <t>T011</t>
  </si>
  <si>
    <t>IMG_532</t>
  </si>
  <si>
    <t>32°39cm</t>
  </si>
  <si>
    <t>T012</t>
  </si>
  <si>
    <t>IMG_533</t>
  </si>
  <si>
    <t>T013</t>
  </si>
  <si>
    <t>IMG_534</t>
  </si>
  <si>
    <t>T014</t>
  </si>
  <si>
    <t>IMG_535</t>
  </si>
  <si>
    <t>T015</t>
  </si>
  <si>
    <t>IMG_536</t>
  </si>
  <si>
    <t>T016</t>
  </si>
  <si>
    <t>IMG_537</t>
  </si>
  <si>
    <t>32°47cm</t>
  </si>
  <si>
    <t>T017</t>
  </si>
  <si>
    <t>IMG_539</t>
  </si>
  <si>
    <t>T018</t>
  </si>
  <si>
    <t>IMG_540</t>
  </si>
  <si>
    <t>T019</t>
  </si>
  <si>
    <t>IMG_541</t>
  </si>
  <si>
    <t>T020</t>
  </si>
  <si>
    <t>IMG_542</t>
  </si>
  <si>
    <t>T021</t>
  </si>
  <si>
    <t>T022</t>
  </si>
  <si>
    <t>T023</t>
  </si>
  <si>
    <t>T024</t>
  </si>
  <si>
    <t>T025</t>
  </si>
  <si>
    <t>T026</t>
  </si>
  <si>
    <t>T027</t>
  </si>
  <si>
    <t>T028</t>
  </si>
  <si>
    <t>T029</t>
  </si>
  <si>
    <t>T030</t>
  </si>
  <si>
    <t>T031</t>
  </si>
  <si>
    <t>T032</t>
  </si>
  <si>
    <t>T033</t>
  </si>
  <si>
    <t>T034</t>
  </si>
  <si>
    <t>T035</t>
  </si>
  <si>
    <t>T036</t>
  </si>
  <si>
    <t>T037</t>
  </si>
  <si>
    <t>T038</t>
  </si>
  <si>
    <t>T039</t>
  </si>
  <si>
    <t>T040</t>
  </si>
  <si>
    <t>T041</t>
  </si>
  <si>
    <t>T042</t>
  </si>
  <si>
    <t>T043</t>
  </si>
  <si>
    <t>T044</t>
  </si>
  <si>
    <t>T045</t>
  </si>
  <si>
    <t>T046</t>
  </si>
  <si>
    <t>T047</t>
  </si>
  <si>
    <t>T048</t>
  </si>
  <si>
    <t>T049</t>
  </si>
  <si>
    <t>T050</t>
  </si>
  <si>
    <t>T051</t>
  </si>
  <si>
    <t>T052</t>
  </si>
  <si>
    <t>T053</t>
  </si>
  <si>
    <t>T054</t>
  </si>
  <si>
    <t>T055</t>
  </si>
  <si>
    <t>T056</t>
  </si>
  <si>
    <t>T057</t>
  </si>
  <si>
    <t>T058</t>
  </si>
  <si>
    <t>T059</t>
  </si>
  <si>
    <t>T060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</si>
</sst>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0"/>
    <numFmt numFmtId="177" formatCode="0.000"/>
    <numFmt numFmtId="178" formatCode="yyyy\-mm\-dd"/>
    <numFmt numFmtId="179" formatCode="0.0"/>
  </numFmts>
  <fonts count="25">
    <font>
      <sz val="11"/>
      <name val="Carlito"/>
      <charset val="134"/>
    </font>
    <font>
      <b/>
      <sz val="11"/>
      <color rgb="FFFFFFFF"/>
      <name val="Carlito"/>
      <charset val="134"/>
    </font>
    <font>
      <sz val="10"/>
      <color rgb="FF263238"/>
      <name val="Carlito"/>
      <charset val="134"/>
    </font>
    <font>
      <b/>
      <sz val="10"/>
      <color rgb="FF263238"/>
      <name val="Carlito"/>
      <charset val="134"/>
    </font>
    <font>
      <sz val="10"/>
      <color rgb="FF263238"/>
      <name val="宋体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287271"/>
        <bgColor indexed="64"/>
      </patternFill>
    </fill>
    <fill>
      <patternFill patternType="solid">
        <fgColor rgb="FFEAF2F8"/>
        <bgColor indexed="64"/>
      </patternFill>
    </fill>
    <fill>
      <patternFill patternType="solid">
        <fgColor rgb="FFFFF3C4"/>
        <bgColor indexed="64"/>
      </patternFill>
    </fill>
    <fill>
      <patternFill patternType="solid">
        <fgColor rgb="FFF3F5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7DEE5"/>
      </left>
      <right style="thin">
        <color rgb="FFD7DEE5"/>
      </right>
      <top style="thin">
        <color rgb="FFD7DEE5"/>
      </top>
      <bottom style="thin">
        <color rgb="FFD7DEE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6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6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7" fillId="9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0" fillId="0" borderId="0"/>
  </cellStyleXfs>
  <cellXfs count="13">
    <xf numFmtId="0" fontId="0" fillId="0" borderId="0" xfId="49"/>
    <xf numFmtId="0" fontId="1" fillId="2" borderId="1" xfId="49" applyNumberFormat="1" applyFont="1" applyFill="1" applyBorder="1" applyAlignment="1">
      <alignment horizontal="center" vertical="center" wrapText="1"/>
    </xf>
    <xf numFmtId="0" fontId="2" fillId="3" borderId="1" xfId="49" applyNumberFormat="1" applyFont="1" applyFill="1" applyBorder="1" applyAlignment="1">
      <alignment horizontal="center" vertical="center"/>
    </xf>
    <xf numFmtId="0" fontId="2" fillId="4" borderId="1" xfId="49" applyNumberFormat="1" applyFont="1" applyFill="1" applyBorder="1" applyAlignment="1">
      <alignment vertical="center"/>
    </xf>
    <xf numFmtId="176" fontId="2" fillId="4" borderId="1" xfId="49" applyNumberFormat="1" applyFont="1" applyFill="1" applyBorder="1" applyAlignment="1">
      <alignment vertical="center"/>
    </xf>
    <xf numFmtId="177" fontId="2" fillId="3" borderId="1" xfId="49" applyNumberFormat="1" applyFont="1" applyFill="1" applyBorder="1" applyAlignment="1">
      <alignment horizontal="right" vertical="center"/>
    </xf>
    <xf numFmtId="177" fontId="2" fillId="4" borderId="1" xfId="49" applyNumberFormat="1" applyFont="1" applyFill="1" applyBorder="1" applyAlignment="1">
      <alignment vertical="center"/>
    </xf>
    <xf numFmtId="0" fontId="3" fillId="5" borderId="1" xfId="49" applyNumberFormat="1" applyFont="1" applyFill="1" applyBorder="1" applyAlignment="1">
      <alignment vertical="center"/>
    </xf>
    <xf numFmtId="178" fontId="2" fillId="4" borderId="1" xfId="49" applyNumberFormat="1" applyFont="1" applyFill="1" applyBorder="1" applyAlignment="1">
      <alignment vertical="center"/>
    </xf>
    <xf numFmtId="0" fontId="2" fillId="3" borderId="1" xfId="49" applyNumberFormat="1" applyFont="1" applyFill="1" applyBorder="1" applyAlignment="1">
      <alignment horizontal="left" vertical="center"/>
    </xf>
    <xf numFmtId="0" fontId="4" fillId="4" borderId="1" xfId="49" applyNumberFormat="1" applyFont="1" applyFill="1" applyBorder="1" applyAlignment="1">
      <alignment vertical="center"/>
    </xf>
    <xf numFmtId="2" fontId="2" fillId="4" borderId="1" xfId="49" applyNumberFormat="1" applyFont="1" applyFill="1" applyBorder="1" applyAlignment="1">
      <alignment vertical="center"/>
    </xf>
    <xf numFmtId="179" fontId="2" fillId="4" borderId="1" xfId="49" applyNumberFormat="1" applyFont="1" applyFill="1" applyBorder="1" applyAlignment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ProjectileSettingsTable" displayName="ProjectileSettingsTable" ref="A1:B13" totalsRowShown="0">
  <tableColumns count="2">
    <tableColumn id="1" name="填写项目"/>
    <tableColumn id="2" name="填写值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id="2" name="ProjectileTrialTable" displayName="ProjectileTrialTable" ref="A2:G62" totalsRowShown="0">
  <autoFilter xmlns:etc="http://www.wps.cn/officeDocument/2017/etCustomData" ref="A2:G62" etc:filterBottomFollowUsedRange="0"/>
  <tableColumns count="7">
    <tableColumn id="1" name="Trial编号"/>
    <tableColumn id="2" name="视频文件名"/>
    <tableColumn id="3" name="光电门block_time_ms"/>
    <tableColumn id="4" name="瞬时速度_m_s"/>
    <tableColumn id="5" name="是否更换背景"/>
    <tableColumn id="6" name="背景说明（可空）"/>
    <tableColumn id="7" name="备注（可空）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3"/>
  <sheetViews>
    <sheetView showGridLines="0" workbookViewId="0">
      <selection activeCell="I14" sqref="I14"/>
    </sheetView>
  </sheetViews>
  <sheetFormatPr defaultColWidth="9" defaultRowHeight="14" outlineLevelCol="1"/>
  <cols>
    <col min="1" max="1" width="25" customWidth="1"/>
    <col min="2" max="2" width="28" customWidth="1"/>
  </cols>
  <sheetData>
    <row r="1" ht="36" customHeight="1" spans="1:2">
      <c r="A1" s="1" t="s">
        <v>0</v>
      </c>
      <c r="B1" s="1" t="s">
        <v>1</v>
      </c>
    </row>
    <row r="2" ht="27" customHeight="1" spans="1:2">
      <c r="A2" s="7" t="s">
        <v>2</v>
      </c>
      <c r="B2" s="8">
        <v>7.24</v>
      </c>
    </row>
    <row r="3" ht="27" customHeight="1" spans="1:2">
      <c r="A3" s="7" t="s">
        <v>3</v>
      </c>
      <c r="B3" s="9" t="s">
        <v>4</v>
      </c>
    </row>
    <row r="4" ht="27" customHeight="1" spans="1:2">
      <c r="A4" s="7" t="s">
        <v>5</v>
      </c>
      <c r="B4" s="9" t="s">
        <v>6</v>
      </c>
    </row>
    <row r="5" ht="27" customHeight="1" spans="1:2">
      <c r="A5" s="7" t="s">
        <v>7</v>
      </c>
      <c r="B5" s="10" t="s">
        <v>8</v>
      </c>
    </row>
    <row r="6" ht="27" customHeight="1" spans="1:2">
      <c r="A6" s="7" t="s">
        <v>9</v>
      </c>
      <c r="B6" s="11">
        <v>13.7</v>
      </c>
    </row>
    <row r="7" ht="27" customHeight="1" spans="1:2">
      <c r="A7" s="7" t="s">
        <v>10</v>
      </c>
      <c r="B7" s="11">
        <v>14</v>
      </c>
    </row>
    <row r="8" ht="27" customHeight="1" spans="1:2">
      <c r="A8" s="7" t="s">
        <v>11</v>
      </c>
      <c r="B8" s="5">
        <f>IF(B6&gt;0,PI()/6*(B6/10)^3,"")</f>
        <v>1.34635728243101</v>
      </c>
    </row>
    <row r="9" ht="27" customHeight="1" spans="1:2">
      <c r="A9" s="7" t="s">
        <v>12</v>
      </c>
      <c r="B9" s="5">
        <f>IF(B8&gt;0,B7/B8,"")</f>
        <v>10.3984285469317</v>
      </c>
    </row>
    <row r="10" ht="27" customHeight="1" spans="1:2">
      <c r="A10" s="7" t="s">
        <v>13</v>
      </c>
      <c r="B10" s="3"/>
    </row>
    <row r="11" ht="27" customHeight="1" spans="1:2">
      <c r="A11" s="7" t="s">
        <v>14</v>
      </c>
      <c r="B11" s="10" t="s">
        <v>15</v>
      </c>
    </row>
    <row r="12" ht="27" customHeight="1" spans="1:2">
      <c r="A12" s="7" t="s">
        <v>16</v>
      </c>
      <c r="B12" s="12">
        <v>77</v>
      </c>
    </row>
    <row r="13" ht="27" customHeight="1" spans="1:2">
      <c r="A13" s="7" t="s">
        <v>17</v>
      </c>
      <c r="B13" s="3"/>
    </row>
  </sheetData>
  <dataValidations count="3">
    <dataValidation type="decimal" operator="between" sqref="B6">
      <formula1>0.01</formula1>
      <formula2>1000</formula2>
    </dataValidation>
    <dataValidation type="decimal" operator="between" sqref="B7">
      <formula1>0.001</formula1>
      <formula2>100000</formula2>
    </dataValidation>
    <dataValidation type="decimal" operator="between" sqref="B12">
      <formula1>0.1</formula1>
      <formula2>10000</formula2>
    </dataValidation>
  </dataValidations>
  <pageMargins left="0.7" right="0.7" top="0.75" bottom="0.75" header="0.3" footer="0.3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G62"/>
  <sheetViews>
    <sheetView showGridLines="0" tabSelected="1" workbookViewId="0">
      <selection activeCell="M21" sqref="M21"/>
    </sheetView>
  </sheetViews>
  <sheetFormatPr defaultColWidth="9" defaultRowHeight="14" outlineLevelCol="6"/>
  <cols>
    <col min="1" max="1" width="15" customWidth="1"/>
    <col min="2" max="2" width="31" customWidth="1"/>
    <col min="3" max="3" width="24" customWidth="1"/>
    <col min="4" max="4" width="21" customWidth="1"/>
    <col min="5" max="5" width="18" customWidth="1"/>
    <col min="6" max="7" width="34" customWidth="1"/>
  </cols>
  <sheetData>
    <row r="2" ht="38" customHeight="1" spans="1:7">
      <c r="A2" s="1" t="s">
        <v>18</v>
      </c>
      <c r="B2" s="1" t="s">
        <v>19</v>
      </c>
      <c r="C2" s="1" t="s">
        <v>20</v>
      </c>
      <c r="D2" s="1" t="s">
        <v>21</v>
      </c>
      <c r="E2" s="1" t="s">
        <v>22</v>
      </c>
      <c r="F2" s="1" t="s">
        <v>23</v>
      </c>
      <c r="G2" s="1" t="s">
        <v>24</v>
      </c>
    </row>
    <row r="3" ht="24" customHeight="1" spans="1:7">
      <c r="A3" s="2" t="s">
        <v>25</v>
      </c>
      <c r="B3" s="3" t="s">
        <v>26</v>
      </c>
      <c r="C3" s="4">
        <v>0.01668</v>
      </c>
      <c r="D3" s="5">
        <f>IF(C3&gt;0,IF(实验设置!$B$6&gt;0,实验设置!$B$6/C3,""),"")</f>
        <v>821.342925659472</v>
      </c>
      <c r="E3" s="3"/>
      <c r="F3" s="3"/>
      <c r="G3" s="3" t="s">
        <v>27</v>
      </c>
    </row>
    <row r="4" ht="24" customHeight="1" spans="1:7">
      <c r="A4" s="2" t="s">
        <v>28</v>
      </c>
      <c r="B4" s="3" t="s">
        <v>29</v>
      </c>
      <c r="C4" s="4">
        <v>0.01702</v>
      </c>
      <c r="D4" s="5">
        <f>IF(C4&gt;0,IF(实验设置!$B$6&gt;0,实验设置!$B$6/C4,""),"")</f>
        <v>804.935370152761</v>
      </c>
      <c r="E4" s="3"/>
      <c r="F4" s="3"/>
      <c r="G4" s="3" t="s">
        <v>27</v>
      </c>
    </row>
    <row r="5" ht="24" customHeight="1" spans="1:7">
      <c r="A5" s="2" t="s">
        <v>30</v>
      </c>
      <c r="B5" s="3" t="s">
        <v>31</v>
      </c>
      <c r="C5" s="4">
        <v>0.01674</v>
      </c>
      <c r="D5" s="5">
        <f>IF(C5&gt;0,IF(实验设置!$B$6&gt;0,实验设置!$B$6/C5,""),"")</f>
        <v>818.399044205496</v>
      </c>
      <c r="E5" s="3"/>
      <c r="F5" s="3"/>
      <c r="G5" s="3" t="s">
        <v>27</v>
      </c>
    </row>
    <row r="6" ht="24" customHeight="1" spans="1:7">
      <c r="A6" s="2" t="s">
        <v>32</v>
      </c>
      <c r="B6" s="3" t="s">
        <v>33</v>
      </c>
      <c r="C6" s="4">
        <v>0.01695</v>
      </c>
      <c r="D6" s="5">
        <f>IF(C6&gt;0,IF(实验设置!$B$6&gt;0,实验设置!$B$6/C6,""),"")</f>
        <v>808.259587020649</v>
      </c>
      <c r="E6" s="3"/>
      <c r="F6" s="3"/>
      <c r="G6" s="3" t="s">
        <v>27</v>
      </c>
    </row>
    <row r="7" ht="24" customHeight="1" spans="1:7">
      <c r="A7" s="2" t="s">
        <v>34</v>
      </c>
      <c r="B7" s="3" t="s">
        <v>35</v>
      </c>
      <c r="C7" s="4">
        <v>0.01663</v>
      </c>
      <c r="D7" s="5">
        <f>IF(C7&gt;0,IF(实验设置!$B$6&gt;0,实验设置!$B$6/C7,""),"")</f>
        <v>823.812387251954</v>
      </c>
      <c r="E7" s="3"/>
      <c r="F7" s="3"/>
      <c r="G7" s="3" t="s">
        <v>27</v>
      </c>
    </row>
    <row r="8" ht="24" customHeight="1" spans="1:7">
      <c r="A8" s="2" t="s">
        <v>36</v>
      </c>
      <c r="B8" s="3" t="s">
        <v>37</v>
      </c>
      <c r="C8" s="4">
        <v>0.01362</v>
      </c>
      <c r="D8" s="5">
        <f>IF(C8&gt;0,IF(实验设置!$B$6&gt;0,实验设置!$B$6/C8,""),"")</f>
        <v>1005.87371512482</v>
      </c>
      <c r="E8" s="3"/>
      <c r="F8" s="3"/>
      <c r="G8" s="3" t="s">
        <v>38</v>
      </c>
    </row>
    <row r="9" ht="24" customHeight="1" spans="1:7">
      <c r="A9" s="2" t="s">
        <v>39</v>
      </c>
      <c r="B9" s="3" t="s">
        <v>40</v>
      </c>
      <c r="C9" s="4">
        <v>0.01365</v>
      </c>
      <c r="D9" s="5">
        <f>IF(C9&gt;0,IF(实验设置!$B$6&gt;0,实验设置!$B$6/C9,""),"")</f>
        <v>1003.663003663</v>
      </c>
      <c r="E9" s="3"/>
      <c r="F9" s="3"/>
      <c r="G9" s="3" t="s">
        <v>38</v>
      </c>
    </row>
    <row r="10" ht="24" customHeight="1" spans="1:7">
      <c r="A10" s="2" t="s">
        <v>41</v>
      </c>
      <c r="B10" s="3" t="s">
        <v>42</v>
      </c>
      <c r="C10" s="4">
        <v>0.01368</v>
      </c>
      <c r="D10" s="5">
        <f>IF(C10&gt;0,IF(实验设置!$B$6&gt;0,实验设置!$B$6/C10,""),"")</f>
        <v>1001.46198830409</v>
      </c>
      <c r="E10" s="3"/>
      <c r="F10" s="3"/>
      <c r="G10" s="3" t="s">
        <v>38</v>
      </c>
    </row>
    <row r="11" ht="24" customHeight="1" spans="1:7">
      <c r="A11" s="2" t="s">
        <v>43</v>
      </c>
      <c r="B11" s="3" t="s">
        <v>44</v>
      </c>
      <c r="C11" s="4">
        <v>0.01368</v>
      </c>
      <c r="D11" s="5">
        <f>IF(C11&gt;0,IF(实验设置!$B$6&gt;0,实验设置!$B$6/C11,""),"")</f>
        <v>1001.46198830409</v>
      </c>
      <c r="E11" s="3"/>
      <c r="F11" s="3"/>
      <c r="G11" s="3" t="s">
        <v>38</v>
      </c>
    </row>
    <row r="12" ht="24" customHeight="1" spans="1:7">
      <c r="A12" s="2" t="s">
        <v>45</v>
      </c>
      <c r="B12" s="3" t="s">
        <v>46</v>
      </c>
      <c r="C12" s="4">
        <v>0.0136</v>
      </c>
      <c r="D12" s="5">
        <f>IF(C12&gt;0,IF(实验设置!$B$6&gt;0,实验设置!$B$6/C12,""),"")</f>
        <v>1007.35294117647</v>
      </c>
      <c r="E12" s="3"/>
      <c r="F12" s="3"/>
      <c r="G12" s="3" t="s">
        <v>38</v>
      </c>
    </row>
    <row r="13" ht="24" customHeight="1" spans="1:7">
      <c r="A13" s="2" t="s">
        <v>47</v>
      </c>
      <c r="B13" s="3" t="s">
        <v>48</v>
      </c>
      <c r="C13" s="4">
        <v>0.01197</v>
      </c>
      <c r="D13" s="5">
        <f>IF(C13&gt;0,IF(实验设置!$B$6&gt;0,实验设置!$B$6/C13,""),"")</f>
        <v>1144.52798663325</v>
      </c>
      <c r="E13" s="3"/>
      <c r="F13" s="3"/>
      <c r="G13" s="3" t="s">
        <v>49</v>
      </c>
    </row>
    <row r="14" ht="24" customHeight="1" spans="1:7">
      <c r="A14" s="2" t="s">
        <v>50</v>
      </c>
      <c r="B14" s="3" t="s">
        <v>51</v>
      </c>
      <c r="C14" s="4">
        <v>0.01198</v>
      </c>
      <c r="D14" s="5">
        <f>IF(C14&gt;0,IF(实验设置!$B$6&gt;0,实验设置!$B$6/C14,""),"")</f>
        <v>1143.57262103506</v>
      </c>
      <c r="E14" s="3"/>
      <c r="F14" s="3"/>
      <c r="G14" s="3" t="s">
        <v>49</v>
      </c>
    </row>
    <row r="15" ht="24" customHeight="1" spans="1:7">
      <c r="A15" s="2" t="s">
        <v>52</v>
      </c>
      <c r="B15" s="3" t="s">
        <v>53</v>
      </c>
      <c r="C15" s="4">
        <v>0.01216</v>
      </c>
      <c r="D15" s="5">
        <f>IF(C15&gt;0,IF(实验设置!$B$6&gt;0,实验设置!$B$6/C15,""),"")</f>
        <v>1126.64473684211</v>
      </c>
      <c r="E15" s="3"/>
      <c r="F15" s="3"/>
      <c r="G15" s="3" t="s">
        <v>49</v>
      </c>
    </row>
    <row r="16" ht="24" customHeight="1" spans="1:7">
      <c r="A16" s="2" t="s">
        <v>54</v>
      </c>
      <c r="B16" s="3" t="s">
        <v>55</v>
      </c>
      <c r="C16" s="4">
        <v>0.01189</v>
      </c>
      <c r="D16" s="5">
        <f>IF(C16&gt;0,IF(实验设置!$B$6&gt;0,实验设置!$B$6/C16,""),"")</f>
        <v>1152.22876366695</v>
      </c>
      <c r="E16" s="3"/>
      <c r="F16" s="3"/>
      <c r="G16" s="3" t="s">
        <v>49</v>
      </c>
    </row>
    <row r="17" ht="24" customHeight="1" spans="1:7">
      <c r="A17" s="2" t="s">
        <v>56</v>
      </c>
      <c r="B17" s="3" t="s">
        <v>57</v>
      </c>
      <c r="C17" s="4">
        <v>0.01206</v>
      </c>
      <c r="D17" s="5">
        <f>IF(C17&gt;0,IF(实验设置!$B$6&gt;0,实验设置!$B$6/C17,""),"")</f>
        <v>1135.98673300166</v>
      </c>
      <c r="E17" s="3"/>
      <c r="F17" s="3"/>
      <c r="G17" s="3" t="s">
        <v>49</v>
      </c>
    </row>
    <row r="18" ht="24" customHeight="1" spans="1:7">
      <c r="A18" s="2" t="s">
        <v>58</v>
      </c>
      <c r="B18" s="3" t="s">
        <v>59</v>
      </c>
      <c r="C18" s="4">
        <v>0.01089</v>
      </c>
      <c r="D18" s="5">
        <f>IF(C18&gt;0,IF(实验设置!$B$6&gt;0,实验设置!$B$6/C18,""),"")</f>
        <v>1258.03489439853</v>
      </c>
      <c r="E18" s="3"/>
      <c r="F18" s="3"/>
      <c r="G18" s="3" t="s">
        <v>60</v>
      </c>
    </row>
    <row r="19" ht="24" customHeight="1" spans="1:7">
      <c r="A19" s="2" t="s">
        <v>61</v>
      </c>
      <c r="B19" s="3" t="s">
        <v>62</v>
      </c>
      <c r="C19" s="4">
        <v>0.01108</v>
      </c>
      <c r="D19" s="5">
        <f>IF(C19&gt;0,IF(实验设置!$B$6&gt;0,实验设置!$B$6/C19,""),"")</f>
        <v>1236.46209386282</v>
      </c>
      <c r="E19" s="3"/>
      <c r="F19" s="3"/>
      <c r="G19" s="3" t="s">
        <v>60</v>
      </c>
    </row>
    <row r="20" ht="24" customHeight="1" spans="1:7">
      <c r="A20" s="2" t="s">
        <v>63</v>
      </c>
      <c r="B20" s="3" t="s">
        <v>64</v>
      </c>
      <c r="C20" s="4">
        <v>0.01091</v>
      </c>
      <c r="D20" s="5">
        <f>IF(C20&gt;0,IF(实验设置!$B$6&gt;0,实验设置!$B$6/C20,""),"")</f>
        <v>1255.72868927589</v>
      </c>
      <c r="E20" s="3"/>
      <c r="F20" s="3"/>
      <c r="G20" s="3" t="s">
        <v>60</v>
      </c>
    </row>
    <row r="21" ht="24" customHeight="1" spans="1:7">
      <c r="A21" s="2" t="s">
        <v>65</v>
      </c>
      <c r="B21" s="3" t="s">
        <v>66</v>
      </c>
      <c r="C21" s="4">
        <v>0.011</v>
      </c>
      <c r="D21" s="5">
        <f>IF(C21&gt;0,IF(实验设置!$B$6&gt;0,实验设置!$B$6/C21,""),"")</f>
        <v>1245.45454545455</v>
      </c>
      <c r="E21" s="3"/>
      <c r="F21" s="3"/>
      <c r="G21" s="3" t="s">
        <v>60</v>
      </c>
    </row>
    <row r="22" ht="24" customHeight="1" spans="1:7">
      <c r="A22" s="2" t="s">
        <v>67</v>
      </c>
      <c r="B22" s="3" t="s">
        <v>68</v>
      </c>
      <c r="C22" s="4">
        <v>0.01101</v>
      </c>
      <c r="D22" s="5">
        <f>IF(C22&gt;0,IF(实验设置!$B$6&gt;0,实验设置!$B$6/C22,""),"")</f>
        <v>1244.32334241599</v>
      </c>
      <c r="E22" s="3"/>
      <c r="F22" s="3"/>
      <c r="G22" s="3" t="s">
        <v>60</v>
      </c>
    </row>
    <row r="23" ht="24" customHeight="1" spans="1:7">
      <c r="A23" s="2" t="s">
        <v>69</v>
      </c>
      <c r="B23" s="3"/>
      <c r="C23" s="6"/>
      <c r="D23" s="5" t="str">
        <f>IF(C23&gt;0,IF(实验设置!$B$6&gt;0,实验设置!$B$6/C23,""),"")</f>
        <v/>
      </c>
      <c r="E23" s="3"/>
      <c r="F23" s="3"/>
      <c r="G23" s="3"/>
    </row>
    <row r="24" ht="24" customHeight="1" spans="1:7">
      <c r="A24" s="2" t="s">
        <v>70</v>
      </c>
      <c r="B24" s="3"/>
      <c r="C24" s="6"/>
      <c r="D24" s="5" t="str">
        <f>IF(C24&gt;0,IF(实验设置!$B$6&gt;0,实验设置!$B$6/C24,""),"")</f>
        <v/>
      </c>
      <c r="E24" s="3"/>
      <c r="F24" s="3"/>
      <c r="G24" s="3"/>
    </row>
    <row r="25" ht="24" customHeight="1" spans="1:7">
      <c r="A25" s="2" t="s">
        <v>71</v>
      </c>
      <c r="B25" s="3"/>
      <c r="C25" s="6"/>
      <c r="D25" s="5" t="str">
        <f>IF(C25&gt;0,IF(实验设置!$B$6&gt;0,实验设置!$B$6/C25,""),"")</f>
        <v/>
      </c>
      <c r="E25" s="3"/>
      <c r="F25" s="3"/>
      <c r="G25" s="3"/>
    </row>
    <row r="26" ht="24" customHeight="1" spans="1:7">
      <c r="A26" s="2" t="s">
        <v>72</v>
      </c>
      <c r="B26" s="3"/>
      <c r="C26" s="6"/>
      <c r="D26" s="5" t="str">
        <f>IF(C26&gt;0,IF(实验设置!$B$6&gt;0,实验设置!$B$6/C26,""),"")</f>
        <v/>
      </c>
      <c r="E26" s="3"/>
      <c r="F26" s="3"/>
      <c r="G26" s="3"/>
    </row>
    <row r="27" ht="24" customHeight="1" spans="1:7">
      <c r="A27" s="2" t="s">
        <v>73</v>
      </c>
      <c r="B27" s="3"/>
      <c r="C27" s="6"/>
      <c r="D27" s="5"/>
      <c r="E27" s="3"/>
      <c r="F27" s="3"/>
      <c r="G27" s="3"/>
    </row>
    <row r="28" ht="24" customHeight="1" spans="1:7">
      <c r="A28" s="2" t="s">
        <v>74</v>
      </c>
      <c r="B28" s="3"/>
      <c r="C28" s="6"/>
      <c r="D28" s="5" t="str">
        <f>IF(C28&gt;0,IF(实验设置!$B$6&gt;0,实验设置!$B$6/C28,""),"")</f>
        <v/>
      </c>
      <c r="E28" s="3"/>
      <c r="F28" s="3"/>
      <c r="G28" s="3"/>
    </row>
    <row r="29" ht="24" customHeight="1" spans="1:7">
      <c r="A29" s="2" t="s">
        <v>75</v>
      </c>
      <c r="B29" s="3"/>
      <c r="C29" s="6"/>
      <c r="D29" s="5" t="str">
        <f>IF(C29&gt;0,IF(实验设置!$B$6&gt;0,实验设置!$B$6/C29,""),"")</f>
        <v/>
      </c>
      <c r="E29" s="3"/>
      <c r="F29" s="3"/>
      <c r="G29" s="3"/>
    </row>
    <row r="30" ht="24" customHeight="1" spans="1:7">
      <c r="A30" s="2" t="s">
        <v>76</v>
      </c>
      <c r="B30" s="3"/>
      <c r="C30" s="6"/>
      <c r="D30" s="5" t="str">
        <f>IF(C30&gt;0,IF(实验设置!$B$6&gt;0,实验设置!$B$6/C30,""),"")</f>
        <v/>
      </c>
      <c r="E30" s="3"/>
      <c r="F30" s="3"/>
      <c r="G30" s="3"/>
    </row>
    <row r="31" ht="24" customHeight="1" spans="1:7">
      <c r="A31" s="2" t="s">
        <v>77</v>
      </c>
      <c r="B31" s="3"/>
      <c r="C31" s="6"/>
      <c r="D31" s="5" t="str">
        <f>IF(C31&gt;0,IF(实验设置!$B$6&gt;0,实验设置!$B$6/C31,""),"")</f>
        <v/>
      </c>
      <c r="E31" s="3"/>
      <c r="F31" s="3"/>
      <c r="G31" s="3"/>
    </row>
    <row r="32" ht="24" customHeight="1" spans="1:7">
      <c r="A32" s="2" t="s">
        <v>78</v>
      </c>
      <c r="B32" s="3"/>
      <c r="C32" s="6"/>
      <c r="D32" s="5" t="str">
        <f>IF(C32&gt;0,IF(实验设置!$B$6&gt;0,实验设置!$B$6/C32,""),"")</f>
        <v/>
      </c>
      <c r="E32" s="3"/>
      <c r="F32" s="3"/>
      <c r="G32" s="3"/>
    </row>
    <row r="33" ht="24" customHeight="1" spans="1:7">
      <c r="A33" s="2" t="s">
        <v>79</v>
      </c>
      <c r="B33" s="3"/>
      <c r="C33" s="6"/>
      <c r="D33" s="5" t="str">
        <f>IF(C33&gt;0,IF(实验设置!$B$6&gt;0,实验设置!$B$6/C33,""),"")</f>
        <v/>
      </c>
      <c r="E33" s="3"/>
      <c r="F33" s="3"/>
      <c r="G33" s="3"/>
    </row>
    <row r="34" ht="24" customHeight="1" spans="1:7">
      <c r="A34" s="2" t="s">
        <v>80</v>
      </c>
      <c r="B34" s="3"/>
      <c r="C34" s="6"/>
      <c r="D34" s="5" t="str">
        <f>IF(C34&gt;0,IF(实验设置!$B$6&gt;0,实验设置!$B$6/C34,""),"")</f>
        <v/>
      </c>
      <c r="E34" s="3"/>
      <c r="F34" s="3"/>
      <c r="G34" s="3"/>
    </row>
    <row r="35" ht="24" customHeight="1" spans="1:7">
      <c r="A35" s="2" t="s">
        <v>81</v>
      </c>
      <c r="B35" s="3"/>
      <c r="C35" s="6"/>
      <c r="D35" s="5" t="str">
        <f>IF(C35&gt;0,IF(实验设置!$B$6&gt;0,实验设置!$B$6/C35,""),"")</f>
        <v/>
      </c>
      <c r="E35" s="3"/>
      <c r="F35" s="3"/>
      <c r="G35" s="3"/>
    </row>
    <row r="36" ht="24" customHeight="1" spans="1:7">
      <c r="A36" s="2" t="s">
        <v>82</v>
      </c>
      <c r="B36" s="3"/>
      <c r="C36" s="6"/>
      <c r="D36" s="5" t="str">
        <f>IF(C36&gt;0,IF(实验设置!$B$6&gt;0,实验设置!$B$6/C36,""),"")</f>
        <v/>
      </c>
      <c r="E36" s="3"/>
      <c r="F36" s="3"/>
      <c r="G36" s="3"/>
    </row>
    <row r="37" ht="24" customHeight="1" spans="1:7">
      <c r="A37" s="2" t="s">
        <v>83</v>
      </c>
      <c r="B37" s="3"/>
      <c r="C37" s="6"/>
      <c r="D37" s="5" t="str">
        <f>IF(C37&gt;0,IF(实验设置!$B$6&gt;0,实验设置!$B$6/C37,""),"")</f>
        <v/>
      </c>
      <c r="E37" s="3"/>
      <c r="F37" s="3"/>
      <c r="G37" s="3"/>
    </row>
    <row r="38" ht="24" customHeight="1" spans="1:7">
      <c r="A38" s="2" t="s">
        <v>84</v>
      </c>
      <c r="B38" s="3"/>
      <c r="C38" s="6"/>
      <c r="D38" s="5" t="str">
        <f>IF(C38&gt;0,IF(实验设置!$B$6&gt;0,实验设置!$B$6/C38,""),"")</f>
        <v/>
      </c>
      <c r="E38" s="3"/>
      <c r="F38" s="3"/>
      <c r="G38" s="3"/>
    </row>
    <row r="39" ht="24" customHeight="1" spans="1:7">
      <c r="A39" s="2" t="s">
        <v>85</v>
      </c>
      <c r="B39" s="3"/>
      <c r="C39" s="6"/>
      <c r="D39" s="5" t="str">
        <f>IF(C39&gt;0,IF(实验设置!$B$6&gt;0,实验设置!$B$6/C39,""),"")</f>
        <v/>
      </c>
      <c r="E39" s="3"/>
      <c r="F39" s="3"/>
      <c r="G39" s="3"/>
    </row>
    <row r="40" ht="24" customHeight="1" spans="1:7">
      <c r="A40" s="2" t="s">
        <v>86</v>
      </c>
      <c r="B40" s="3"/>
      <c r="C40" s="6"/>
      <c r="D40" s="5" t="str">
        <f>IF(C40&gt;0,IF(实验设置!$B$6&gt;0,实验设置!$B$6/C40,""),"")</f>
        <v/>
      </c>
      <c r="E40" s="3"/>
      <c r="F40" s="3"/>
      <c r="G40" s="3"/>
    </row>
    <row r="41" ht="24" customHeight="1" spans="1:7">
      <c r="A41" s="2" t="s">
        <v>87</v>
      </c>
      <c r="B41" s="3"/>
      <c r="C41" s="6"/>
      <c r="D41" s="5" t="str">
        <f>IF(C41&gt;0,IF(实验设置!$B$6&gt;0,实验设置!$B$6/C41,""),"")</f>
        <v/>
      </c>
      <c r="E41" s="3"/>
      <c r="F41" s="3"/>
      <c r="G41" s="3"/>
    </row>
    <row r="42" ht="24" customHeight="1" spans="1:7">
      <c r="A42" s="2" t="s">
        <v>88</v>
      </c>
      <c r="B42" s="3"/>
      <c r="C42" s="6"/>
      <c r="D42" s="5" t="str">
        <f>IF(C42&gt;0,IF(实验设置!$B$6&gt;0,实验设置!$B$6/C42,""),"")</f>
        <v/>
      </c>
      <c r="E42" s="3"/>
      <c r="F42" s="3"/>
      <c r="G42" s="3"/>
    </row>
    <row r="43" ht="24" customHeight="1" spans="1:7">
      <c r="A43" s="2" t="s">
        <v>89</v>
      </c>
      <c r="B43" s="3"/>
      <c r="C43" s="6"/>
      <c r="D43" s="5" t="str">
        <f>IF(C43&gt;0,IF(实验设置!$B$6&gt;0,实验设置!$B$6/C43,""),"")</f>
        <v/>
      </c>
      <c r="E43" s="3"/>
      <c r="F43" s="3"/>
      <c r="G43" s="3"/>
    </row>
    <row r="44" ht="24" customHeight="1" spans="1:7">
      <c r="A44" s="2" t="s">
        <v>90</v>
      </c>
      <c r="B44" s="3"/>
      <c r="C44" s="6"/>
      <c r="D44" s="5" t="str">
        <f>IF(C44&gt;0,IF(实验设置!$B$6&gt;0,实验设置!$B$6/C44,""),"")</f>
        <v/>
      </c>
      <c r="E44" s="3"/>
      <c r="F44" s="3"/>
      <c r="G44" s="3"/>
    </row>
    <row r="45" ht="24" customHeight="1" spans="1:7">
      <c r="A45" s="2" t="s">
        <v>91</v>
      </c>
      <c r="B45" s="3"/>
      <c r="C45" s="6"/>
      <c r="D45" s="5" t="str">
        <f>IF(C45&gt;0,IF(实验设置!$B$6&gt;0,实验设置!$B$6/C45,""),"")</f>
        <v/>
      </c>
      <c r="E45" s="3"/>
      <c r="F45" s="3"/>
      <c r="G45" s="3"/>
    </row>
    <row r="46" ht="24" customHeight="1" spans="1:7">
      <c r="A46" s="2" t="s">
        <v>92</v>
      </c>
      <c r="B46" s="3"/>
      <c r="C46" s="6"/>
      <c r="D46" s="5" t="str">
        <f>IF(C46&gt;0,IF(实验设置!$B$6&gt;0,实验设置!$B$6/C46,""),"")</f>
        <v/>
      </c>
      <c r="E46" s="3"/>
      <c r="F46" s="3"/>
      <c r="G46" s="3"/>
    </row>
    <row r="47" ht="24" customHeight="1" spans="1:7">
      <c r="A47" s="2" t="s">
        <v>93</v>
      </c>
      <c r="B47" s="3"/>
      <c r="C47" s="6"/>
      <c r="D47" s="5" t="str">
        <f>IF(C47&gt;0,IF(实验设置!$B$6&gt;0,实验设置!$B$6/C47,""),"")</f>
        <v/>
      </c>
      <c r="E47" s="3"/>
      <c r="F47" s="3"/>
      <c r="G47" s="3"/>
    </row>
    <row r="48" ht="24" customHeight="1" spans="1:7">
      <c r="A48" s="2" t="s">
        <v>94</v>
      </c>
      <c r="B48" s="3"/>
      <c r="C48" s="6"/>
      <c r="D48" s="5" t="str">
        <f>IF(C48&gt;0,IF(实验设置!$B$6&gt;0,实验设置!$B$6/C48,""),"")</f>
        <v/>
      </c>
      <c r="E48" s="3"/>
      <c r="F48" s="3"/>
      <c r="G48" s="3"/>
    </row>
    <row r="49" ht="24" customHeight="1" spans="1:7">
      <c r="A49" s="2" t="s">
        <v>95</v>
      </c>
      <c r="B49" s="3"/>
      <c r="C49" s="6"/>
      <c r="D49" s="5" t="str">
        <f>IF(C49&gt;0,IF(实验设置!$B$6&gt;0,实验设置!$B$6/C49,""),"")</f>
        <v/>
      </c>
      <c r="E49" s="3"/>
      <c r="F49" s="3"/>
      <c r="G49" s="3"/>
    </row>
    <row r="50" ht="24" customHeight="1" spans="1:7">
      <c r="A50" s="2" t="s">
        <v>96</v>
      </c>
      <c r="B50" s="3"/>
      <c r="C50" s="6"/>
      <c r="D50" s="5" t="str">
        <f>IF(C50&gt;0,IF(实验设置!$B$6&gt;0,实验设置!$B$6/C50,""),"")</f>
        <v/>
      </c>
      <c r="E50" s="3"/>
      <c r="F50" s="3"/>
      <c r="G50" s="3"/>
    </row>
    <row r="51" ht="24" customHeight="1" spans="1:7">
      <c r="A51" s="2" t="s">
        <v>97</v>
      </c>
      <c r="B51" s="3"/>
      <c r="C51" s="6"/>
      <c r="D51" s="5" t="str">
        <f>IF(C51&gt;0,IF(实验设置!$B$6&gt;0,实验设置!$B$6/C51,""),"")</f>
        <v/>
      </c>
      <c r="E51" s="3"/>
      <c r="F51" s="3"/>
      <c r="G51" s="3"/>
    </row>
    <row r="52" ht="24" customHeight="1" spans="1:7">
      <c r="A52" s="2" t="s">
        <v>98</v>
      </c>
      <c r="B52" s="3"/>
      <c r="C52" s="6"/>
      <c r="D52" s="5" t="str">
        <f>IF(C52&gt;0,IF(实验设置!$B$6&gt;0,实验设置!$B$6/C52,""),"")</f>
        <v/>
      </c>
      <c r="E52" s="3"/>
      <c r="F52" s="3"/>
      <c r="G52" s="3"/>
    </row>
    <row r="53" ht="24" customHeight="1" spans="1:7">
      <c r="A53" s="2" t="s">
        <v>99</v>
      </c>
      <c r="B53" s="3"/>
      <c r="C53" s="6"/>
      <c r="D53" s="5" t="str">
        <f>IF(C53&gt;0,IF(实验设置!$B$6&gt;0,实验设置!$B$6/C53,""),"")</f>
        <v/>
      </c>
      <c r="E53" s="3"/>
      <c r="F53" s="3"/>
      <c r="G53" s="3"/>
    </row>
    <row r="54" ht="24" customHeight="1" spans="1:7">
      <c r="A54" s="2" t="s">
        <v>100</v>
      </c>
      <c r="B54" s="3"/>
      <c r="C54" s="6"/>
      <c r="D54" s="5" t="str">
        <f>IF(C54&gt;0,IF(实验设置!$B$6&gt;0,实验设置!$B$6/C54,""),"")</f>
        <v/>
      </c>
      <c r="E54" s="3"/>
      <c r="F54" s="3"/>
      <c r="G54" s="3"/>
    </row>
    <row r="55" ht="24" customHeight="1" spans="1:7">
      <c r="A55" s="2" t="s">
        <v>101</v>
      </c>
      <c r="B55" s="3"/>
      <c r="C55" s="6"/>
      <c r="D55" s="5" t="str">
        <f>IF(C55&gt;0,IF(实验设置!$B$6&gt;0,实验设置!$B$6/C55,""),"")</f>
        <v/>
      </c>
      <c r="E55" s="3"/>
      <c r="F55" s="3"/>
      <c r="G55" s="3"/>
    </row>
    <row r="56" ht="24" customHeight="1" spans="1:7">
      <c r="A56" s="2" t="s">
        <v>102</v>
      </c>
      <c r="B56" s="3"/>
      <c r="C56" s="6"/>
      <c r="D56" s="5" t="str">
        <f>IF(C56&gt;0,IF(实验设置!$B$6&gt;0,实验设置!$B$6/C56,""),"")</f>
        <v/>
      </c>
      <c r="E56" s="3"/>
      <c r="F56" s="3"/>
      <c r="G56" s="3"/>
    </row>
    <row r="57" ht="24" customHeight="1" spans="1:7">
      <c r="A57" s="2" t="s">
        <v>103</v>
      </c>
      <c r="B57" s="3"/>
      <c r="C57" s="6"/>
      <c r="D57" s="5" t="str">
        <f>IF(C57&gt;0,IF(实验设置!$B$6&gt;0,实验设置!$B$6/C57,""),"")</f>
        <v/>
      </c>
      <c r="E57" s="3"/>
      <c r="F57" s="3"/>
      <c r="G57" s="3"/>
    </row>
    <row r="58" ht="24" customHeight="1" spans="1:7">
      <c r="A58" s="2" t="s">
        <v>104</v>
      </c>
      <c r="B58" s="3"/>
      <c r="C58" s="6"/>
      <c r="D58" s="5" t="str">
        <f>IF(C58&gt;0,IF(实验设置!$B$6&gt;0,实验设置!$B$6/C58,""),"")</f>
        <v/>
      </c>
      <c r="E58" s="3"/>
      <c r="F58" s="3"/>
      <c r="G58" s="3"/>
    </row>
    <row r="59" ht="24" customHeight="1" spans="1:7">
      <c r="A59" s="2" t="s">
        <v>105</v>
      </c>
      <c r="B59" s="3"/>
      <c r="C59" s="6"/>
      <c r="D59" s="5" t="str">
        <f>IF(C59&gt;0,IF(实验设置!$B$6&gt;0,实验设置!$B$6/C59,""),"")</f>
        <v/>
      </c>
      <c r="E59" s="3"/>
      <c r="F59" s="3"/>
      <c r="G59" s="3"/>
    </row>
    <row r="60" ht="24" customHeight="1" spans="1:7">
      <c r="A60" s="2" t="s">
        <v>106</v>
      </c>
      <c r="B60" s="3"/>
      <c r="C60" s="6"/>
      <c r="D60" s="5" t="str">
        <f>IF(C60&gt;0,IF(实验设置!$B$6&gt;0,实验设置!$B$6/C60,""),"")</f>
        <v/>
      </c>
      <c r="E60" s="3"/>
      <c r="F60" s="3"/>
      <c r="G60" s="3"/>
    </row>
    <row r="61" ht="24" customHeight="1" spans="1:7">
      <c r="A61" s="2" t="s">
        <v>107</v>
      </c>
      <c r="B61" s="3"/>
      <c r="C61" s="6"/>
      <c r="D61" s="5" t="str">
        <f>IF(C61&gt;0,IF(实验设置!$B$6&gt;0,实验设置!$B$6/C61,""),"")</f>
        <v/>
      </c>
      <c r="E61" s="3"/>
      <c r="F61" s="3"/>
      <c r="G61" s="3"/>
    </row>
    <row r="62" ht="24" customHeight="1" spans="1:7">
      <c r="A62" s="2" t="s">
        <v>108</v>
      </c>
      <c r="B62" s="3"/>
      <c r="C62" s="6"/>
      <c r="D62" s="5" t="str">
        <f>IF(C62&gt;0,IF(实验设置!$B$6&gt;0,实验设置!$B$6/C62,""),"")</f>
        <v/>
      </c>
      <c r="E62" s="3"/>
      <c r="F62" s="3"/>
      <c r="G62" s="3"/>
    </row>
  </sheetData>
  <dataValidations count="2">
    <dataValidation type="decimal" operator="between" sqref="C3:C62">
      <formula1>0.001</formula1>
      <formula2>100000</formula2>
    </dataValidation>
    <dataValidation type="list" allowBlank="1" sqref="E3:E62">
      <formula1>"否,是"</formula1>
    </dataValidation>
  </dataValidations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实验设置</vt:lpstr>
      <vt:lpstr>Trial记录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10142</cp:lastModifiedBy>
  <dcterms:created xsi:type="dcterms:W3CDTF">2026-07-24T06:51:00Z</dcterms:created>
  <dcterms:modified xsi:type="dcterms:W3CDTF">2026-07-29T02:27:20Z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1C2EF7D36B9D47A8A60DE96272B20871_13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